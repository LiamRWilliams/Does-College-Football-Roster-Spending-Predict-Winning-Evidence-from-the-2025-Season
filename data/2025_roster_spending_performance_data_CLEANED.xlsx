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aa9e65247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 Analysis Data" sheetId="1" r:id="Ra7eb6d1d32284092"/>
    <x:sheet xmlns:r="http://schemas.openxmlformats.org/officeDocument/2006/relationships" name="Notes &amp; Sources" sheetId="2" r:id="R2d18f2701a9a40ed"/>
    <x:sheet xmlns:r="http://schemas.openxmlformats.org/officeDocument/2006/relationships" name="Audit" sheetId="3" r:id="Rb2c6faefb82e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a94107ff348a6" /><Relationship Type="http://schemas.openxmlformats.org/officeDocument/2006/relationships/theme" Target="/xl/theme/theme1.xml" Id="Rd289d29b72ea4302" /><Relationship Type="http://schemas.openxmlformats.org/officeDocument/2006/relationships/sharedStrings" Target="/xl/sharedStrings.xml" Id="Rb690b3d8d203410c" /><Relationship Type="http://schemas.openxmlformats.org/officeDocument/2006/relationships/worksheet" Target="/xl/worksheets/sheet1.xml" Id="Ra7eb6d1d32284092" /><Relationship Type="http://schemas.openxmlformats.org/officeDocument/2006/relationships/worksheet" Target="/xl/worksheets/sheet2.xml" Id="R2d18f2701a9a40ed" /><Relationship Type="http://schemas.openxmlformats.org/officeDocument/2006/relationships/worksheet" Target="/xl/worksheets/sheet3.xml" Id="Rb2c6faefb82e4fd4" /></Relationships>
</file>

<file path=xl/tables/table1.xml><?xml version="1.0" encoding="utf-8"?>
<x:table xmlns:x="http://schemas.openxmlformats.org/spreadsheetml/2006/main" id="1" name="Analysis2025" displayName="Analysis2025" ref="A1:R69" headerRowCount="1" totalsRowCount="0" totalsRowShown="0">
  <x:tableColumns count="18">
    <x:tableColumn id="1" name="rank"/>
    <x:tableColumn id="2" name="team"/>
    <x:tableColumn id="3" name="conference"/>
    <x:tableColumn id="4" name="payroll_low_m"/>
    <x:tableColumn id="5" name="payroll_high_m"/>
    <x:tableColumn id="6" name="payroll_mid_m"/>
    <x:tableColumn id="7" name="tier"/>
    <x:tableColumn id="8" name="wins"/>
    <x:tableColumn id="9" name="losses"/>
    <x:tableColumn id="10" name="games"/>
    <x:tableColumn id="11" name="win_pct"/>
    <x:tableColumn id="12" name="points_for"/>
    <x:tableColumn id="13" name="points_against"/>
    <x:tableColumn id="14" name="point_diff"/>
    <x:tableColumn id="15" name="points_per_game"/>
    <x:tableColumn id="16" name="points_allowed_per_game"/>
    <x:tableColumn id="17" name="payroll_source"/>
    <x:tableColumn id="18" name="performance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8361505060475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4" hidden="0" customWidth="1"/>
    <x:col min="4" max="4" width="15" hidden="0" customWidth="1"/>
    <x:col min="5" max="5" width="16" hidden="0" customWidth="1"/>
    <x:col min="6" max="6" width="15" hidden="0" customWidth="1"/>
    <x:col min="7" max="7" width="12" hidden="0" customWidth="1"/>
    <x:col min="8" max="8" width="9" hidden="0" customWidth="1"/>
    <x:col min="9" max="9" width="9" hidden="0" customWidth="1"/>
    <x:col min="10" max="10" width="9" hidden="0" customWidth="1"/>
    <x:col min="11" max="11" width="11" hidden="0" customWidth="1"/>
    <x:col min="12" max="12" width="12" hidden="0" customWidth="1"/>
    <x:col min="13" max="13" width="15" hidden="0" customWidth="1"/>
    <x:col min="14" max="14" width="12" hidden="0" customWidth="1"/>
    <x:col min="15" max="15" width="16" hidden="0" customWidth="1"/>
    <x:col min="16" max="16" width="22" hidden="0" customWidth="1"/>
    <x:col min="17" max="17" width="58" hidden="0" customWidth="1"/>
    <x:col min="18" max="18" width="52" hidden="0" customWidth="1"/>
  </x:cols>
  <x:sheetData>
    <x:row r="1">
      <x:c r="A1" s="10" t="str">
        <x:v>rank</x:v>
      </x:c>
      <x:c r="B1" s="10" t="str">
        <x:v>team</x:v>
      </x:c>
      <x:c r="C1" s="10" t="str">
        <x:v>conference</x:v>
      </x:c>
      <x:c r="D1" s="10" t="str">
        <x:v>payroll_low_m</x:v>
      </x:c>
      <x:c r="E1" s="10" t="str">
        <x:v>payroll_high_m</x:v>
      </x:c>
      <x:c r="F1" s="10" t="str">
        <x:v>payroll_mid_m</x:v>
      </x:c>
      <x:c r="G1" s="10" t="str">
        <x:v>tier</x:v>
      </x:c>
      <x:c r="H1" s="10" t="str">
        <x:v>wins</x:v>
      </x:c>
      <x:c r="I1" s="10" t="str">
        <x:v>losses</x:v>
      </x:c>
      <x:c r="J1" s="10" t="str">
        <x:v>games</x:v>
      </x:c>
      <x:c r="K1" s="10" t="str">
        <x:v>win_pct</x:v>
      </x:c>
      <x:c r="L1" s="10" t="str">
        <x:v>points_for</x:v>
      </x:c>
      <x:c r="M1" s="10" t="str">
        <x:v>points_against</x:v>
      </x:c>
      <x:c r="N1" s="10" t="str">
        <x:v>point_diff</x:v>
      </x:c>
      <x:c r="O1" s="10" t="str">
        <x:v>points_per_game</x:v>
      </x:c>
      <x:c r="P1" s="10" t="str">
        <x:v>points_allowed_per_game</x:v>
      </x:c>
      <x:c r="Q1" s="10" t="str">
        <x:v>payroll_source</x:v>
      </x:c>
      <x:c r="R1" s="10" t="str">
        <x:v>performance_source</x:v>
      </x:c>
    </x:row>
    <x:row r="2">
      <x:c r="A2" s="11" t="n">
        <x:v>1</x:v>
      </x:c>
      <x:c r="B2" s="11" t="str">
        <x:v>Ohio State</x:v>
      </x:c>
      <x:c r="C2" s="11" t="str">
        <x:v>Big Ten</x:v>
      </x:c>
      <x:c r="D2" s="14" t="n">
        <x:v>31</x:v>
      </x:c>
      <x:c r="E2" s="14" t="n">
        <x:v>37</x:v>
      </x:c>
      <x:c r="F2" s="14" t="n">
        <x:v>34</x:v>
      </x:c>
      <x:c r="G2" s="11" t="str">
        <x:v>TOP</x:v>
      </x:c>
      <x:c r="H2" s="11" t="n">
        <x:v>12</x:v>
      </x:c>
      <x:c r="I2" s="11" t="n">
        <x:v>0</x:v>
      </x:c>
      <x:c r="J2" s="11" t="n">
        <x:v>12</x:v>
      </x:c>
      <x:c r="K2" s="16" t="n">
        <x:f>IFERROR(H2/J2,"")</x:f>
        <x:v>1</x:v>
      </x:c>
      <x:c r="L2" s="11" t="n">
        <x:v>444</x:v>
      </x:c>
      <x:c r="M2" s="11" t="n">
        <x:v>93</x:v>
      </x:c>
      <x:c r="N2" s="11" t="n">
        <x:f>L2-M2</x:f>
        <x:v>351</x:v>
      </x:c>
      <x:c r="O2" s="14" t="n">
        <x:f>IFERROR(L2/J2,"")</x:f>
        <x:v>37</x:v>
      </x:c>
      <x:c r="P2" s="14" t="n">
        <x:f>IFERROR(M2/J2,"")</x:f>
        <x:v>7.75</x:v>
      </x:c>
      <x:c r="Q2" s="11" t="str">
        <x:v>https://baratelliinstitute.com/college-football-payroll-by-school</x:v>
      </x:c>
      <x:c r="R2" s="11" t="str">
        <x:v>https://ohiostatebuckeyes.com/sports/2026/5/27/2025-football-season</x:v>
      </x:c>
    </x:row>
    <x:row r="3">
      <x:c r="A3" s="11" t="n">
        <x:v>2</x:v>
      </x:c>
      <x:c r="B3" s="11" t="str">
        <x:v>Texas</x:v>
      </x:c>
      <x:c r="C3" s="11" t="str">
        <x:v>SEC</x:v>
      </x:c>
      <x:c r="D3" s="14" t="n">
        <x:v>31</x:v>
      </x:c>
      <x:c r="E3" s="14" t="n">
        <x:v>37</x:v>
      </x:c>
      <x:c r="F3" s="14" t="n">
        <x:v>34</x:v>
      </x:c>
      <x:c r="G3" s="11" t="str">
        <x:v>TOP</x:v>
      </x:c>
      <x:c r="H3" s="11" t="n">
        <x:v>9</x:v>
      </x:c>
      <x:c r="I3" s="11" t="n">
        <x:v>3</x:v>
      </x:c>
      <x:c r="J3" s="11" t="n">
        <x:v>12</x:v>
      </x:c>
      <x:c r="K3" s="16" t="n">
        <x:f>IFERROR(H3/J3,"")</x:f>
        <x:v>0.75</x:v>
      </x:c>
      <x:c r="L3" s="11" t="n">
        <x:v>355</x:v>
      </x:c>
      <x:c r="M3" s="11" t="n">
        <x:v>237</x:v>
      </x:c>
      <x:c r="N3" s="11" t="n">
        <x:f>L3-M3</x:f>
        <x:v>118</x:v>
      </x:c>
      <x:c r="O3" s="14" t="n">
        <x:f>IFERROR(L3/J3,"")</x:f>
        <x:v>29.583333333333332</x:v>
      </x:c>
      <x:c r="P3" s="14" t="n">
        <x:f>IFERROR(M3/J3,"")</x:f>
        <x:v>19.75</x:v>
      </x:c>
      <x:c r="Q3" s="11" t="str">
        <x:v>https://baratelliinstitute.com/college-football-payroll-by-school</x:v>
      </x:c>
      <x:c r="R3" s="11" t="str">
        <x:v>https://draftedge.com/cfb/cfb-team-rankings/</x:v>
      </x:c>
    </x:row>
    <x:row r="4">
      <x:c r="A4" s="11" t="n">
        <x:v>3</x:v>
      </x:c>
      <x:c r="B4" s="11" t="str">
        <x:v>Oregon</x:v>
      </x:c>
      <x:c r="C4" s="11" t="str">
        <x:v>Big Ten</x:v>
      </x:c>
      <x:c r="D4" s="14" t="n">
        <x:v>30</x:v>
      </x:c>
      <x:c r="E4" s="14" t="n">
        <x:v>37</x:v>
      </x:c>
      <x:c r="F4" s="14" t="n">
        <x:v>33.5</x:v>
      </x:c>
      <x:c r="G4" s="11" t="str">
        <x:v>TOP</x:v>
      </x:c>
      <x:c r="H4" s="11" t="n">
        <x:v>11</x:v>
      </x:c>
      <x:c r="I4" s="11" t="n">
        <x:v>1</x:v>
      </x:c>
      <x:c r="J4" s="11" t="n">
        <x:v>12</x:v>
      </x:c>
      <x:c r="K4" s="16" t="n">
        <x:f>IFERROR(H4/J4,"")</x:f>
        <x:v>0.9166666666666666</x:v>
      </x:c>
      <x:c r="L4" s="11" t="n">
        <x:v>458</x:v>
      </x:c>
      <x:c r="M4" s="11" t="n">
        <x:v>178</x:v>
      </x:c>
      <x:c r="N4" s="11" t="n">
        <x:f>L4-M4</x:f>
        <x:v>280</x:v>
      </x:c>
      <x:c r="O4" s="14" t="n">
        <x:f>IFERROR(L4/J4,"")</x:f>
        <x:v>38.166666666666664</x:v>
      </x:c>
      <x:c r="P4" s="14" t="n">
        <x:f>IFERROR(M4/J4,"")</x:f>
        <x:v>14.833333333333334</x:v>
      </x:c>
      <x:c r="Q4" s="11" t="str">
        <x:v>https://baratelliinstitute.com/college-football-payroll-by-school</x:v>
      </x:c>
      <x:c r="R4" s="11" t="str">
        <x:v>https://draftedge.com/cfb/cfb-team-rankings/</x:v>
      </x:c>
    </x:row>
    <x:row r="5">
      <x:c r="A5" s="11" t="n">
        <x:v>4</x:v>
      </x:c>
      <x:c r="B5" s="11" t="str">
        <x:v>Alabama</x:v>
      </x:c>
      <x:c r="C5" s="11" t="str">
        <x:v>SEC</x:v>
      </x:c>
      <x:c r="D5" s="14" t="n">
        <x:v>28</x:v>
      </x:c>
      <x:c r="E5" s="14" t="n">
        <x:v>33</x:v>
      </x:c>
      <x:c r="F5" s="14" t="n">
        <x:v>30.5</x:v>
      </x:c>
      <x:c r="G5" s="11" t="str">
        <x:v>TOP</x:v>
      </x:c>
      <x:c r="H5" s="11" t="n">
        <x:v>10</x:v>
      </x:c>
      <x:c r="I5" s="11" t="n">
        <x:v>2</x:v>
      </x:c>
      <x:c r="J5" s="11" t="n">
        <x:v>12</x:v>
      </x:c>
      <x:c r="K5" s="16" t="n">
        <x:f>IFERROR(H5/J5,"")</x:f>
        <x:v>0.8333333333333334</x:v>
      </x:c>
      <x:c r="L5" s="11" t="n">
        <x:v>399</x:v>
      </x:c>
      <x:c r="M5" s="11" t="n">
        <x:v>198</x:v>
      </x:c>
      <x:c r="N5" s="11" t="n">
        <x:f>L5-M5</x:f>
        <x:v>201</x:v>
      </x:c>
      <x:c r="O5" s="14" t="n">
        <x:f>IFERROR(L5/J5,"")</x:f>
        <x:v>33.25</x:v>
      </x:c>
      <x:c r="P5" s="14" t="n">
        <x:f>IFERROR(M5/J5,"")</x:f>
        <x:v>16.5</x:v>
      </x:c>
      <x:c r="Q5" s="11" t="str">
        <x:v>https://baratelliinstitute.com/college-football-payroll-by-school</x:v>
      </x:c>
      <x:c r="R5" s="11" t="str">
        <x:v>https://georgiadogs.com/news/2025/12/7/football-bulldogs-blitz-tide-28-7-for-sec-championship</x:v>
      </x:c>
    </x:row>
    <x:row r="6">
      <x:c r="A6" s="11" t="n">
        <x:v>5</x:v>
      </x:c>
      <x:c r="B6" s="11" t="str">
        <x:v>Georgia</x:v>
      </x:c>
      <x:c r="C6" s="11" t="str">
        <x:v>SEC</x:v>
      </x:c>
      <x:c r="D6" s="14" t="n">
        <x:v>28</x:v>
      </x:c>
      <x:c r="E6" s="14" t="n">
        <x:v>33</x:v>
      </x:c>
      <x:c r="F6" s="14" t="n">
        <x:v>30.5</x:v>
      </x:c>
      <x:c r="G6" s="11" t="str">
        <x:v>TOP</x:v>
      </x:c>
      <x:c r="H6" s="11" t="n">
        <x:v>11</x:v>
      </x:c>
      <x:c r="I6" s="11" t="n">
        <x:v>1</x:v>
      </x:c>
      <x:c r="J6" s="11" t="n">
        <x:v>12</x:v>
      </x:c>
      <x:c r="K6" s="16" t="n">
        <x:f>IFERROR(H6/J6,"")</x:f>
        <x:v>0.9166666666666666</x:v>
      </x:c>
      <x:c r="L6" s="11" t="n">
        <x:v>387</x:v>
      </x:c>
      <x:c r="M6" s="11" t="n">
        <x:v>200</x:v>
      </x:c>
      <x:c r="N6" s="11" t="n">
        <x:f>L6-M6</x:f>
        <x:v>187</x:v>
      </x:c>
      <x:c r="O6" s="14" t="n">
        <x:f>IFERROR(L6/J6,"")</x:f>
        <x:v>32.25</x:v>
      </x:c>
      <x:c r="P6" s="14" t="n">
        <x:f>IFERROR(M6/J6,"")</x:f>
        <x:v>16.666666666666668</x:v>
      </x:c>
      <x:c r="Q6" s="11" t="str">
        <x:v>https://baratelliinstitute.com/college-football-payroll-by-school</x:v>
      </x:c>
      <x:c r="R6" s="11" t="str">
        <x:v>https://georgiadogs.com/news/2025/12/7/football-bulldogs-blitz-tide-28-7-for-sec-championship</x:v>
      </x:c>
    </x:row>
    <x:row r="7">
      <x:c r="A7" s="11" t="n">
        <x:v>6</x:v>
      </x:c>
      <x:c r="B7" s="11" t="str">
        <x:v>LSU</x:v>
      </x:c>
      <x:c r="C7" s="11" t="str">
        <x:v>SEC</x:v>
      </x:c>
      <x:c r="D7" s="14" t="n">
        <x:v>26</x:v>
      </x:c>
      <x:c r="E7" s="14" t="n">
        <x:v>31</x:v>
      </x:c>
      <x:c r="F7" s="14" t="n">
        <x:v>28.5</x:v>
      </x:c>
      <x:c r="G7" s="11" t="str">
        <x:v>TOP</x:v>
      </x:c>
      <x:c r="H7" s="11" t="n">
        <x:v>7</x:v>
      </x:c>
      <x:c r="I7" s="11" t="n">
        <x:v>5</x:v>
      </x:c>
      <x:c r="J7" s="11" t="n">
        <x:v>12</x:v>
      </x:c>
      <x:c r="K7" s="16" t="n">
        <x:f>IFERROR(H7/J7,"")</x:f>
        <x:v>0.5833333333333334</x:v>
      </x:c>
      <x:c r="L7" s="11" t="n">
        <x:v>262</x:v>
      </x:c>
      <x:c r="M7" s="11" t="n">
        <x:v>220</x:v>
      </x:c>
      <x:c r="N7" s="11" t="n">
        <x:f>L7-M7</x:f>
        <x:v>42</x:v>
      </x:c>
      <x:c r="O7" s="14" t="n">
        <x:f>IFERROR(L7/J7,"")</x:f>
        <x:v>21.833333333333332</x:v>
      </x:c>
      <x:c r="P7" s="14" t="n">
        <x:f>IFERROR(M7/J7,"")</x:f>
        <x:v>18.333333333333332</x:v>
      </x:c>
      <x:c r="Q7" s="11" t="str">
        <x:v>https://baratelliinstitute.com/college-football-payroll-by-school</x:v>
      </x:c>
      <x:c r="R7" s="11" t="str">
        <x:v>https://draftedge.com/cfb/cfb-team-rankings/</x:v>
      </x:c>
    </x:row>
    <x:row r="8">
      <x:c r="A8" s="11" t="n">
        <x:v>7</x:v>
      </x:c>
      <x:c r="B8" s="11" t="str">
        <x:v>Miami (FL)</x:v>
      </x:c>
      <x:c r="C8" s="11" t="str">
        <x:v>ACC</x:v>
      </x:c>
      <x:c r="D8" s="14" t="n">
        <x:v>25</x:v>
      </x:c>
      <x:c r="E8" s="14" t="n">
        <x:v>31</x:v>
      </x:c>
      <x:c r="F8" s="14" t="n">
        <x:v>28</x:v>
      </x:c>
      <x:c r="G8" s="11" t="str">
        <x:v>TOP</x:v>
      </x:c>
      <x:c r="H8" s="11" t="n">
        <x:v>10</x:v>
      </x:c>
      <x:c r="I8" s="11" t="n">
        <x:v>2</x:v>
      </x:c>
      <x:c r="J8" s="11" t="n">
        <x:v>12</x:v>
      </x:c>
      <x:c r="K8" s="16" t="n">
        <x:f>IFERROR(H8/J8,"")</x:f>
        <x:v>0.8333333333333334</x:v>
      </x:c>
      <x:c r="L8" s="11" t="n">
        <x:v>409</x:v>
      </x:c>
      <x:c r="M8" s="11" t="n">
        <x:v>166</x:v>
      </x:c>
      <x:c r="N8" s="11" t="n">
        <x:f>L8-M8</x:f>
        <x:v>243</x:v>
      </x:c>
      <x:c r="O8" s="14" t="n">
        <x:f>IFERROR(L8/J8,"")</x:f>
        <x:v>34.083333333333336</x:v>
      </x:c>
      <x:c r="P8" s="14" t="n">
        <x:f>IFERROR(M8/J8,"")</x:f>
        <x:v>13.833333333333334</x:v>
      </x:c>
      <x:c r="Q8" s="11" t="str">
        <x:v>https://baratelliinstitute.com/college-football-payroll-by-school</x:v>
      </x:c>
      <x:c r="R8" s="11" t="str">
        <x:v>https://miamihurricanes.com/sports/football/schedule/season/2025-26</x:v>
      </x:c>
    </x:row>
    <x:row r="9">
      <x:c r="A9" s="11" t="n">
        <x:v>8</x:v>
      </x:c>
      <x:c r="B9" s="11" t="str">
        <x:v>Michigan</x:v>
      </x:c>
      <x:c r="C9" s="11" t="str">
        <x:v>Big Ten</x:v>
      </x:c>
      <x:c r="D9" s="14" t="n">
        <x:v>25</x:v>
      </x:c>
      <x:c r="E9" s="14" t="n">
        <x:v>30</x:v>
      </x:c>
      <x:c r="F9" s="14" t="n">
        <x:v>27.5</x:v>
      </x:c>
      <x:c r="G9" s="11" t="str">
        <x:v>TOP</x:v>
      </x:c>
      <x:c r="H9" s="11" t="n">
        <x:v>9</x:v>
      </x:c>
      <x:c r="I9" s="11" t="n">
        <x:v>3</x:v>
      </x:c>
      <x:c r="J9" s="11" t="n">
        <x:v>12</x:v>
      </x:c>
      <x:c r="K9" s="16" t="n">
        <x:f>IFERROR(H9/J9,"")</x:f>
        <x:v>0.75</x:v>
      </x:c>
      <x:c r="L9" s="11" t="n">
        <x:v>331</x:v>
      </x:c>
      <x:c r="M9" s="11" t="n">
        <x:v>224</x:v>
      </x:c>
      <x:c r="N9" s="11" t="n">
        <x:f>L9-M9</x:f>
        <x:v>107</x:v>
      </x:c>
      <x:c r="O9" s="14" t="n">
        <x:f>IFERROR(L9/J9,"")</x:f>
        <x:v>27.583333333333332</x:v>
      </x:c>
      <x:c r="P9" s="14" t="n">
        <x:f>IFERROR(M9/J9,"")</x:f>
        <x:v>18.666666666666668</x:v>
      </x:c>
      <x:c r="Q9" s="11" t="str">
        <x:v>https://baratelliinstitute.com/college-football-payroll-by-school</x:v>
      </x:c>
      <x:c r="R9" s="11" t="str">
        <x:v>https://draftedge.com/cfb/cfb-team-rankings/</x:v>
      </x:c>
    </x:row>
    <x:row r="10">
      <x:c r="A10" s="11" t="n">
        <x:v>9</x:v>
      </x:c>
      <x:c r="B10" s="11" t="str">
        <x:v>Notre Dame</x:v>
      </x:c>
      <x:c r="C10" s="11" t="str">
        <x:v>Independent</x:v>
      </x:c>
      <x:c r="D10" s="14" t="n">
        <x:v>25</x:v>
      </x:c>
      <x:c r="E10" s="14" t="n">
        <x:v>30</x:v>
      </x:c>
      <x:c r="F10" s="14" t="n">
        <x:v>27.5</x:v>
      </x:c>
      <x:c r="G10" s="11" t="str">
        <x:v>TOP</x:v>
      </x:c>
      <x:c r="H10" s="11" t="n">
        <x:v>10</x:v>
      </x:c>
      <x:c r="I10" s="11" t="n">
        <x:v>2</x:v>
      </x:c>
      <x:c r="J10" s="11" t="n">
        <x:v>12</x:v>
      </x:c>
      <x:c r="K10" s="16" t="n">
        <x:f>IFERROR(H10/J10,"")</x:f>
        <x:v>0.8333333333333334</x:v>
      </x:c>
      <x:c r="L10" s="11" t="n">
        <x:v>504</x:v>
      </x:c>
      <x:c r="M10" s="11" t="n">
        <x:v>211</x:v>
      </x:c>
      <x:c r="N10" s="11" t="n">
        <x:f>L10-M10</x:f>
        <x:v>293</x:v>
      </x:c>
      <x:c r="O10" s="14" t="n">
        <x:f>IFERROR(L10/J10,"")</x:f>
        <x:v>42</x:v>
      </x:c>
      <x:c r="P10" s="14" t="n">
        <x:f>IFERROR(M10/J10,"")</x:f>
        <x:v>17.583333333333332</x:v>
      </x:c>
      <x:c r="Q10" s="11" t="str">
        <x:v>https://baratelliinstitute.com/college-football-payroll-by-school</x:v>
      </x:c>
      <x:c r="R10" s="11" t="str">
        <x:v>https://fightingirish.com/wp-content/uploads/2025/11/2025-NDFB-Season-Statistics-G12.pdf</x:v>
      </x:c>
    </x:row>
    <x:row r="11">
      <x:c r="A11" s="11" t="n">
        <x:v>10</x:v>
      </x:c>
      <x:c r="B11" s="11" t="str">
        <x:v>Penn State</x:v>
      </x:c>
      <x:c r="C11" s="11" t="str">
        <x:v>Big Ten</x:v>
      </x:c>
      <x:c r="D11" s="14" t="n">
        <x:v>25</x:v>
      </x:c>
      <x:c r="E11" s="14" t="n">
        <x:v>30</x:v>
      </x:c>
      <x:c r="F11" s="14" t="n">
        <x:v>27.5</x:v>
      </x:c>
      <x:c r="G11" s="11" t="str">
        <x:v>TOP</x:v>
      </x:c>
      <x:c r="H11" s="11" t="n">
        <x:v>6</x:v>
      </x:c>
      <x:c r="I11" s="11" t="n">
        <x:v>6</x:v>
      </x:c>
      <x:c r="J11" s="11" t="n">
        <x:v>12</x:v>
      </x:c>
      <x:c r="K11" s="16" t="n">
        <x:f>IFERROR(H11/J11,"")</x:f>
        <x:v>0.5</x:v>
      </x:c>
      <x:c r="L11" s="11" t="n">
        <x:v>381</x:v>
      </x:c>
      <x:c r="M11" s="11" t="n">
        <x:v>257</x:v>
      </x:c>
      <x:c r="N11" s="11" t="n">
        <x:f>L11-M11</x:f>
        <x:v>124</x:v>
      </x:c>
      <x:c r="O11" s="14" t="n">
        <x:f>IFERROR(L11/J11,"")</x:f>
        <x:v>31.75</x:v>
      </x:c>
      <x:c r="P11" s="14" t="n">
        <x:f>IFERROR(M11/J11,"")</x:f>
        <x:v>21.416666666666668</x:v>
      </x:c>
      <x:c r="Q11" s="11" t="str">
        <x:v>https://baratelliinstitute.com/college-football-payroll-by-school</x:v>
      </x:c>
      <x:c r="R11" s="11" t="str">
        <x:v>https://draftedge.com/cfb/cfb-team-rankings/</x:v>
      </x:c>
    </x:row>
    <x:row r="12">
      <x:c r="A12" s="11" t="n">
        <x:v>11</x:v>
      </x:c>
      <x:c r="B12" s="11" t="str">
        <x:v>Tennessee</x:v>
      </x:c>
      <x:c r="C12" s="11" t="str">
        <x:v>SEC</x:v>
      </x:c>
      <x:c r="D12" s="14" t="n">
        <x:v>25</x:v>
      </x:c>
      <x:c r="E12" s="14" t="n">
        <x:v>30</x:v>
      </x:c>
      <x:c r="F12" s="14" t="n">
        <x:v>27.5</x:v>
      </x:c>
      <x:c r="G12" s="11" t="str">
        <x:v>TOP</x:v>
      </x:c>
      <x:c r="H12" s="11" t="n">
        <x:v>8</x:v>
      </x:c>
      <x:c r="I12" s="11" t="n">
        <x:v>4</x:v>
      </x:c>
      <x:c r="J12" s="11" t="n">
        <x:v>12</x:v>
      </x:c>
      <x:c r="K12" s="16" t="n">
        <x:f>IFERROR(H12/J12,"")</x:f>
        <x:v>0.6666666666666666</x:v>
      </x:c>
      <x:c r="L12" s="11" t="n">
        <x:v>489</x:v>
      </x:c>
      <x:c r="M12" s="11" t="n">
        <x:v>345</x:v>
      </x:c>
      <x:c r="N12" s="11" t="n">
        <x:f>L12-M12</x:f>
        <x:v>144</x:v>
      </x:c>
      <x:c r="O12" s="14" t="n">
        <x:f>IFERROR(L12/J12,"")</x:f>
        <x:v>40.75</x:v>
      </x:c>
      <x:c r="P12" s="14" t="n">
        <x:f>IFERROR(M12/J12,"")</x:f>
        <x:v>28.75</x:v>
      </x:c>
      <x:c r="Q12" s="11" t="str">
        <x:v>https://baratelliinstitute.com/college-football-payroll-by-school</x:v>
      </x:c>
      <x:c r="R12" s="11" t="str">
        <x:v>https://draftedge.com/cfb/cfb-team-rankings/</x:v>
      </x:c>
    </x:row>
    <x:row r="13">
      <x:c r="A13" s="11" t="n">
        <x:v>12</x:v>
      </x:c>
      <x:c r="B13" s="11" t="str">
        <x:v>USC</x:v>
      </x:c>
      <x:c r="C13" s="11" t="str">
        <x:v>Big Ten</x:v>
      </x:c>
      <x:c r="D13" s="14" t="n">
        <x:v>25</x:v>
      </x:c>
      <x:c r="E13" s="14" t="n">
        <x:v>30</x:v>
      </x:c>
      <x:c r="F13" s="14" t="n">
        <x:v>27.5</x:v>
      </x:c>
      <x:c r="G13" s="11" t="str">
        <x:v>TOP</x:v>
      </x:c>
      <x:c r="H13" s="11" t="n">
        <x:v>9</x:v>
      </x:c>
      <x:c r="I13" s="11" t="n">
        <x:v>3</x:v>
      </x:c>
      <x:c r="J13" s="11" t="n">
        <x:v>12</x:v>
      </x:c>
      <x:c r="K13" s="16" t="n">
        <x:f>IFERROR(H13/J13,"")</x:f>
        <x:v>0.75</x:v>
      </x:c>
      <x:c r="L13" s="11" t="n">
        <x:v>438</x:v>
      </x:c>
      <x:c r="M13" s="11" t="n">
        <x:v>269</x:v>
      </x:c>
      <x:c r="N13" s="11" t="n">
        <x:f>L13-M13</x:f>
        <x:v>169</x:v>
      </x:c>
      <x:c r="O13" s="14" t="n">
        <x:f>IFERROR(L13/J13,"")</x:f>
        <x:v>36.5</x:v>
      </x:c>
      <x:c r="P13" s="14" t="n">
        <x:f>IFERROR(M13/J13,"")</x:f>
        <x:v>22.416666666666668</x:v>
      </x:c>
      <x:c r="Q13" s="11" t="str">
        <x:v>https://baratelliinstitute.com/college-football-payroll-by-school</x:v>
      </x:c>
      <x:c r="R13" s="11" t="str">
        <x:v>https://draftedge.com/cfb/cfb-team-rankings/</x:v>
      </x:c>
    </x:row>
    <x:row r="14">
      <x:c r="A14" s="11" t="n">
        <x:v>13</x:v>
      </x:c>
      <x:c r="B14" s="11" t="str">
        <x:v>Auburn</x:v>
      </x:c>
      <x:c r="C14" s="11" t="str">
        <x:v>SEC</x:v>
      </x:c>
      <x:c r="D14" s="14" t="n">
        <x:v>23</x:v>
      </x:c>
      <x:c r="E14" s="14" t="n">
        <x:v>28</x:v>
      </x:c>
      <x:c r="F14" s="14" t="n">
        <x:v>25.5</x:v>
      </x:c>
      <x:c r="G14" s="11" t="str">
        <x:v>TOP</x:v>
      </x:c>
      <x:c r="H14" s="11" t="n">
        <x:v>5</x:v>
      </x:c>
      <x:c r="I14" s="11" t="n">
        <x:v>7</x:v>
      </x:c>
      <x:c r="J14" s="11" t="n">
        <x:v>12</x:v>
      </x:c>
      <x:c r="K14" s="16" t="n">
        <x:f>IFERROR(H14/J14,"")</x:f>
        <x:v>0.4166666666666667</x:v>
      </x:c>
      <x:c r="L14" s="11" t="n">
        <x:v>321</x:v>
      </x:c>
      <x:c r="M14" s="11" t="n">
        <x:v>248</x:v>
      </x:c>
      <x:c r="N14" s="11" t="n">
        <x:f>L14-M14</x:f>
        <x:v>73</x:v>
      </x:c>
      <x:c r="O14" s="14" t="n">
        <x:f>IFERROR(L14/J14,"")</x:f>
        <x:v>26.75</x:v>
      </x:c>
      <x:c r="P14" s="14" t="n">
        <x:f>IFERROR(M14/J14,"")</x:f>
        <x:v>20.666666666666668</x:v>
      </x:c>
      <x:c r="Q14" s="11" t="str">
        <x:v>https://baratelliinstitute.com/college-football-payroll-by-school</x:v>
      </x:c>
      <x:c r="R14" s="11" t="str">
        <x:v>https://auburntigers.com/sports/football/schedule/season/2025</x:v>
      </x:c>
    </x:row>
    <x:row r="15">
      <x:c r="A15" s="11" t="n">
        <x:v>14</x:v>
      </x:c>
      <x:c r="B15" s="11" t="str">
        <x:v>Texas A&amp;M</x:v>
      </x:c>
      <x:c r="C15" s="11" t="str">
        <x:v>SEC</x:v>
      </x:c>
      <x:c r="D15" s="14" t="n">
        <x:v>23</x:v>
      </x:c>
      <x:c r="E15" s="14" t="n">
        <x:v>28</x:v>
      </x:c>
      <x:c r="F15" s="14" t="n">
        <x:v>25.5</x:v>
      </x:c>
      <x:c r="G15" s="11" t="str">
        <x:v>TOP</x:v>
      </x:c>
      <x:c r="H15" s="11" t="n">
        <x:v>11</x:v>
      </x:c>
      <x:c r="I15" s="11" t="n">
        <x:v>1</x:v>
      </x:c>
      <x:c r="J15" s="11" t="n">
        <x:v>12</x:v>
      </x:c>
      <x:c r="K15" s="16" t="n">
        <x:f>IFERROR(H15/J15,"")</x:f>
        <x:v>0.9166666666666666</x:v>
      </x:c>
      <x:c r="L15" s="11" t="n">
        <x:v>436</x:v>
      </x:c>
      <x:c r="M15" s="11" t="n">
        <x:v>263</x:v>
      </x:c>
      <x:c r="N15" s="11" t="n">
        <x:f>L15-M15</x:f>
        <x:v>173</x:v>
      </x:c>
      <x:c r="O15" s="14" t="n">
        <x:f>IFERROR(L15/J15,"")</x:f>
        <x:v>36.333333333333336</x:v>
      </x:c>
      <x:c r="P15" s="14" t="n">
        <x:f>IFERROR(M15/J15,"")</x:f>
        <x:v>21.916666666666668</x:v>
      </x:c>
      <x:c r="Q15" s="11" t="str">
        <x:v>https://baratelliinstitute.com/college-football-payroll-by-school</x:v>
      </x:c>
      <x:c r="R15" s="11" t="str">
        <x:v>https://draftedge.com/cfb/cfb-team-rankings/</x:v>
      </x:c>
    </x:row>
    <x:row r="16">
      <x:c r="A16" s="11" t="n">
        <x:v>15</x:v>
      </x:c>
      <x:c r="B16" s="11" t="str">
        <x:v>Indiana</x:v>
      </x:c>
      <x:c r="C16" s="11" t="str">
        <x:v>Big Ten</x:v>
      </x:c>
      <x:c r="D16" s="14" t="n">
        <x:v>22</x:v>
      </x:c>
      <x:c r="E16" s="14" t="n">
        <x:v>28</x:v>
      </x:c>
      <x:c r="F16" s="14" t="n">
        <x:v>25</x:v>
      </x:c>
      <x:c r="G16" s="11" t="str">
        <x:v>TOP</x:v>
      </x:c>
      <x:c r="H16" s="11" t="n">
        <x:v>12</x:v>
      </x:c>
      <x:c r="I16" s="11" t="n">
        <x:v>0</x:v>
      </x:c>
      <x:c r="J16" s="11" t="n">
        <x:v>12</x:v>
      </x:c>
      <x:c r="K16" s="16" t="n">
        <x:f>IFERROR(H16/J16,"")</x:f>
        <x:v>1</x:v>
      </x:c>
      <x:c r="L16" s="11" t="n">
        <x:v>532</x:v>
      </x:c>
      <x:c r="M16" s="11" t="n">
        <x:v>131</x:v>
      </x:c>
      <x:c r="N16" s="11" t="n">
        <x:f>L16-M16</x:f>
        <x:v>401</x:v>
      </x:c>
      <x:c r="O16" s="14" t="n">
        <x:f>IFERROR(L16/J16,"")</x:f>
        <x:v>44.333333333333336</x:v>
      </x:c>
      <x:c r="P16" s="14" t="n">
        <x:f>IFERROR(M16/J16,"")</x:f>
        <x:v>10.916666666666666</x:v>
      </x:c>
      <x:c r="Q16" s="11" t="str">
        <x:v>https://baratelliinstitute.com/college-football-payroll-by-school</x:v>
      </x:c>
      <x:c r="R16" s="11" t="str">
        <x:v>https://ohiostatebuckeyes.com/sports/2026/5/27/2025-football-season</x:v>
      </x:c>
    </x:row>
    <x:row r="17">
      <x:c r="A17" s="11" t="n">
        <x:v>16</x:v>
      </x:c>
      <x:c r="B17" s="11" t="str">
        <x:v>Florida</x:v>
      </x:c>
      <x:c r="C17" s="11" t="str">
        <x:v>SEC</x:v>
      </x:c>
      <x:c r="D17" s="14" t="n">
        <x:v>22</x:v>
      </x:c>
      <x:c r="E17" s="14" t="n">
        <x:v>27</x:v>
      </x:c>
      <x:c r="F17" s="14" t="n">
        <x:v>24.5</x:v>
      </x:c>
      <x:c r="G17" s="11" t="str">
        <x:v>UPPER-MID</x:v>
      </x:c>
      <x:c r="H17" s="11" t="n">
        <x:v>4</x:v>
      </x:c>
      <x:c r="I17" s="11" t="n">
        <x:v>8</x:v>
      </x:c>
      <x:c r="J17" s="11" t="n">
        <x:v>12</x:v>
      </x:c>
      <x:c r="K17" s="16" t="n">
        <x:f>IFERROR(H17/J17,"")</x:f>
        <x:v>0.3333333333333333</x:v>
      </x:c>
      <x:c r="L17" s="11" t="n">
        <x:v>259</x:v>
      </x:c>
      <x:c r="M17" s="11" t="n">
        <x:v>288</x:v>
      </x:c>
      <x:c r="N17" s="11" t="n">
        <x:f>L17-M17</x:f>
        <x:v>-29</x:v>
      </x:c>
      <x:c r="O17" s="14" t="n">
        <x:f>IFERROR(L17/J17,"")</x:f>
        <x:v>21.583333333333332</x:v>
      </x:c>
      <x:c r="P17" s="14" t="n">
        <x:f>IFERROR(M17/J17,"")</x:f>
        <x:v>24</x:v>
      </x:c>
      <x:c r="Q17" s="11" t="str">
        <x:v>https://baratelliinstitute.com/college-football-payroll-by-school</x:v>
      </x:c>
      <x:c r="R17" s="11" t="str">
        <x:v>https://draftedge.com/cfb/cfb-team-rankings/</x:v>
      </x:c>
    </x:row>
    <x:row r="18">
      <x:c r="A18" s="11" t="n">
        <x:v>17</x:v>
      </x:c>
      <x:c r="B18" s="11" t="str">
        <x:v>Oklahoma</x:v>
      </x:c>
      <x:c r="C18" s="11" t="str">
        <x:v>SEC</x:v>
      </x:c>
      <x:c r="D18" s="14" t="n">
        <x:v>22</x:v>
      </x:c>
      <x:c r="E18" s="14" t="n">
        <x:v>27</x:v>
      </x:c>
      <x:c r="F18" s="14" t="n">
        <x:v>24.5</x:v>
      </x:c>
      <x:c r="G18" s="11" t="str">
        <x:v>UPPER-MID</x:v>
      </x:c>
      <x:c r="H18" s="11" t="n">
        <x:v>10</x:v>
      </x:c>
      <x:c r="I18" s="11" t="n">
        <x:v>2</x:v>
      </x:c>
      <x:c r="J18" s="11" t="n">
        <x:v>12</x:v>
      </x:c>
      <x:c r="K18" s="16" t="n">
        <x:f>IFERROR(H18/J18,"")</x:f>
        <x:v>0.8333333333333334</x:v>
      </x:c>
      <x:c r="L18" s="11" t="n">
        <x:v>317</x:v>
      </x:c>
      <x:c r="M18" s="11" t="n">
        <x:v>167</x:v>
      </x:c>
      <x:c r="N18" s="11" t="n">
        <x:f>L18-M18</x:f>
        <x:v>150</x:v>
      </x:c>
      <x:c r="O18" s="14" t="n">
        <x:f>IFERROR(L18/J18,"")</x:f>
        <x:v>26.416666666666668</x:v>
      </x:c>
      <x:c r="P18" s="14" t="n">
        <x:f>IFERROR(M18/J18,"")</x:f>
        <x:v>13.916666666666666</x:v>
      </x:c>
      <x:c r="Q18" s="11" t="str">
        <x:v>https://baratelliinstitute.com/college-football-payroll-by-school</x:v>
      </x:c>
      <x:c r="R18" s="11" t="str">
        <x:v>https://draftedge.com/cfb/cfb-team-rankings/</x:v>
      </x:c>
    </x:row>
    <x:row r="19">
      <x:c r="A19" s="11" t="n">
        <x:v>18</x:v>
      </x:c>
      <x:c r="B19" s="11" t="str">
        <x:v>Ole Miss</x:v>
      </x:c>
      <x:c r="C19" s="11" t="str">
        <x:v>SEC</x:v>
      </x:c>
      <x:c r="D19" s="14" t="n">
        <x:v>22</x:v>
      </x:c>
      <x:c r="E19" s="14" t="n">
        <x:v>27</x:v>
      </x:c>
      <x:c r="F19" s="14" t="n">
        <x:v>24.5</x:v>
      </x:c>
      <x:c r="G19" s="11" t="str">
        <x:v>UPPER-MID</x:v>
      </x:c>
      <x:c r="H19" s="11" t="n">
        <x:v>11</x:v>
      </x:c>
      <x:c r="I19" s="11" t="n">
        <x:v>1</x:v>
      </x:c>
      <x:c r="J19" s="11" t="n">
        <x:v>12</x:v>
      </x:c>
      <x:c r="K19" s="16" t="n">
        <x:f>IFERROR(H19/J19,"")</x:f>
        <x:v>0.9166666666666666</x:v>
      </x:c>
      <x:c r="L19" s="11" t="n">
        <x:v>447</x:v>
      </x:c>
      <x:c r="M19" s="11" t="n">
        <x:v>241</x:v>
      </x:c>
      <x:c r="N19" s="11" t="n">
        <x:f>L19-M19</x:f>
        <x:v>206</x:v>
      </x:c>
      <x:c r="O19" s="14" t="n">
        <x:f>IFERROR(L19/J19,"")</x:f>
        <x:v>37.25</x:v>
      </x:c>
      <x:c r="P19" s="14" t="n">
        <x:f>IFERROR(M19/J19,"")</x:f>
        <x:v>20.083333333333332</x:v>
      </x:c>
      <x:c r="Q19" s="11" t="str">
        <x:v>https://baratelliinstitute.com/college-football-payroll-by-school</x:v>
      </x:c>
      <x:c r="R19" s="11" t="str">
        <x:v>https://draftedge.com/cfb/cfb-team-rankings/</x:v>
      </x:c>
    </x:row>
    <x:row r="20">
      <x:c r="A20" s="11" t="n">
        <x:v>19</x:v>
      </x:c>
      <x:c r="B20" s="11" t="str">
        <x:v>Nebraska</x:v>
      </x:c>
      <x:c r="C20" s="11" t="str">
        <x:v>Big Ten</x:v>
      </x:c>
      <x:c r="D20" s="14" t="n">
        <x:v>21</x:v>
      </x:c>
      <x:c r="E20" s="14" t="n">
        <x:v>26</x:v>
      </x:c>
      <x:c r="F20" s="14" t="n">
        <x:v>23.5</x:v>
      </x:c>
      <x:c r="G20" s="11" t="str">
        <x:v>UPPER-MID</x:v>
      </x:c>
      <x:c r="H20" s="11" t="n">
        <x:v>7</x:v>
      </x:c>
      <x:c r="I20" s="11" t="n">
        <x:v>5</x:v>
      </x:c>
      <x:c r="J20" s="11" t="n">
        <x:v>12</x:v>
      </x:c>
      <x:c r="K20" s="16" t="n">
        <x:f>IFERROR(H20/J20,"")</x:f>
        <x:v>0.5833333333333334</x:v>
      </x:c>
      <x:c r="L20" s="11" t="n">
        <x:v>351</x:v>
      </x:c>
      <x:c r="M20" s="11" t="n">
        <x:v>276</x:v>
      </x:c>
      <x:c r="N20" s="11" t="n">
        <x:f>L20-M20</x:f>
        <x:v>75</x:v>
      </x:c>
      <x:c r="O20" s="14" t="n">
        <x:f>IFERROR(L20/J20,"")</x:f>
        <x:v>29.25</x:v>
      </x:c>
      <x:c r="P20" s="14" t="n">
        <x:f>IFERROR(M20/J20,"")</x:f>
        <x:v>23</x:v>
      </x:c>
      <x:c r="Q20" s="11" t="str">
        <x:v>https://baratelliinstitute.com/college-football-payroll-by-school</x:v>
      </x:c>
      <x:c r="R20" s="11" t="str">
        <x:v>https://draftedge.com/cfb/cfb-team-rankings/</x:v>
      </x:c>
    </x:row>
    <x:row r="21">
      <x:c r="A21" s="11" t="n">
        <x:v>20</x:v>
      </x:c>
      <x:c r="B21" s="11" t="str">
        <x:v>South Carolina</x:v>
      </x:c>
      <x:c r="C21" s="11" t="str">
        <x:v>SEC</x:v>
      </x:c>
      <x:c r="D21" s="14" t="n">
        <x:v>20</x:v>
      </x:c>
      <x:c r="E21" s="14" t="n">
        <x:v>25</x:v>
      </x:c>
      <x:c r="F21" s="14" t="n">
        <x:v>22.5</x:v>
      </x:c>
      <x:c r="G21" s="11" t="str">
        <x:v>UPPER-MID</x:v>
      </x:c>
      <x:c r="H21" s="11" t="n">
        <x:v>4</x:v>
      </x:c>
      <x:c r="I21" s="11" t="n">
        <x:v>8</x:v>
      </x:c>
      <x:c r="J21" s="11" t="n">
        <x:v>12</x:v>
      </x:c>
      <x:c r="K21" s="16" t="n">
        <x:f>IFERROR(H21/J21,"")</x:f>
        <x:v>0.3333333333333333</x:v>
      </x:c>
      <x:c r="L21" s="11" t="n">
        <x:v>272</x:v>
      </x:c>
      <x:c r="M21" s="11" t="n">
        <x:v>265</x:v>
      </x:c>
      <x:c r="N21" s="11" t="n">
        <x:f>L21-M21</x:f>
        <x:v>7</x:v>
      </x:c>
      <x:c r="O21" s="14" t="n">
        <x:f>IFERROR(L21/J21,"")</x:f>
        <x:v>22.666666666666668</x:v>
      </x:c>
      <x:c r="P21" s="14" t="n">
        <x:f>IFERROR(M21/J21,"")</x:f>
        <x:v>22.083333333333332</x:v>
      </x:c>
      <x:c r="Q21" s="11" t="str">
        <x:v>https://baratelliinstitute.com/college-football-payroll-by-school</x:v>
      </x:c>
      <x:c r="R21" s="11" t="str">
        <x:v>https://draftedge.com/cfb/cfb-team-rankings/</x:v>
      </x:c>
    </x:row>
    <x:row r="22">
      <x:c r="A22" s="11" t="n">
        <x:v>21</x:v>
      </x:c>
      <x:c r="B22" s="11" t="str">
        <x:v>Washington</x:v>
      </x:c>
      <x:c r="C22" s="11" t="str">
        <x:v>Big Ten</x:v>
      </x:c>
      <x:c r="D22" s="14" t="n">
        <x:v>20</x:v>
      </x:c>
      <x:c r="E22" s="14" t="n">
        <x:v>25</x:v>
      </x:c>
      <x:c r="F22" s="14" t="n">
        <x:v>22.5</x:v>
      </x:c>
      <x:c r="G22" s="11" t="str">
        <x:v>UPPER-MID</x:v>
      </x:c>
      <x:c r="H22" s="11" t="n">
        <x:v>8</x:v>
      </x:c>
      <x:c r="I22" s="11" t="n">
        <x:v>4</x:v>
      </x:c>
      <x:c r="J22" s="11" t="n">
        <x:v>12</x:v>
      </x:c>
      <x:c r="K22" s="16" t="n">
        <x:f>IFERROR(H22/J22,"")</x:f>
        <x:v>0.6666666666666666</x:v>
      </x:c>
      <x:c r="L22" s="11" t="n">
        <x:v>405</x:v>
      </x:c>
      <x:c r="M22" s="11" t="n">
        <x:v>233</x:v>
      </x:c>
      <x:c r="N22" s="11" t="n">
        <x:f>L22-M22</x:f>
        <x:v>172</x:v>
      </x:c>
      <x:c r="O22" s="14" t="n">
        <x:f>IFERROR(L22/J22,"")</x:f>
        <x:v>33.75</x:v>
      </x:c>
      <x:c r="P22" s="14" t="n">
        <x:f>IFERROR(M22/J22,"")</x:f>
        <x:v>19.416666666666668</x:v>
      </x:c>
      <x:c r="Q22" s="11" t="str">
        <x:v>https://baratelliinstitute.com/college-football-payroll-by-school</x:v>
      </x:c>
      <x:c r="R22" s="11" t="str">
        <x:v>https://draftedge.com/cfb/cfb-team-rankings/</x:v>
      </x:c>
    </x:row>
    <x:row r="23">
      <x:c r="A23" s="11" t="n">
        <x:v>22</x:v>
      </x:c>
      <x:c r="B23" s="11" t="str">
        <x:v>Wisconsin</x:v>
      </x:c>
      <x:c r="C23" s="11" t="str">
        <x:v>Big Ten</x:v>
      </x:c>
      <x:c r="D23" s="14" t="n">
        <x:v>19</x:v>
      </x:c>
      <x:c r="E23" s="14" t="n">
        <x:v>24</x:v>
      </x:c>
      <x:c r="F23" s="14" t="n">
        <x:v>21.5</x:v>
      </x:c>
      <x:c r="G23" s="11" t="str">
        <x:v>UPPER-MID</x:v>
      </x:c>
      <x:c r="H23" s="11" t="n">
        <x:v>4</x:v>
      </x:c>
      <x:c r="I23" s="11" t="n">
        <x:v>8</x:v>
      </x:c>
      <x:c r="J23" s="11" t="n">
        <x:v>12</x:v>
      </x:c>
      <x:c r="K23" s="16" t="n">
        <x:f>IFERROR(H23/J23,"")</x:f>
        <x:v>0.3333333333333333</x:v>
      </x:c>
      <x:c r="L23" s="11" t="n">
        <x:v>154</x:v>
      </x:c>
      <x:c r="M23" s="11" t="n">
        <x:v>259</x:v>
      </x:c>
      <x:c r="N23" s="11" t="n">
        <x:f>L23-M23</x:f>
        <x:v>-105</x:v>
      </x:c>
      <x:c r="O23" s="14" t="n">
        <x:f>IFERROR(L23/J23,"")</x:f>
        <x:v>12.833333333333334</x:v>
      </x:c>
      <x:c r="P23" s="14" t="n">
        <x:f>IFERROR(M23/J23,"")</x:f>
        <x:v>21.583333333333332</x:v>
      </x:c>
      <x:c r="Q23" s="11" t="str">
        <x:v>https://baratelliinstitute.com/college-football-payroll-by-school</x:v>
      </x:c>
      <x:c r="R23" s="11" t="str">
        <x:v>https://draftedge.com/cfb/cfb-team-rankings/</x:v>
      </x:c>
    </x:row>
    <x:row r="24">
      <x:c r="A24" s="11" t="n">
        <x:v>23</x:v>
      </x:c>
      <x:c r="B24" s="11" t="str">
        <x:v>Illinois</x:v>
      </x:c>
      <x:c r="C24" s="11" t="str">
        <x:v>Big Ten</x:v>
      </x:c>
      <x:c r="D24" s="14" t="n">
        <x:v>18</x:v>
      </x:c>
      <x:c r="E24" s="14" t="n">
        <x:v>23</x:v>
      </x:c>
      <x:c r="F24" s="14" t="n">
        <x:v>20.5</x:v>
      </x:c>
      <x:c r="G24" s="11" t="str">
        <x:v>UPPER-MID</x:v>
      </x:c>
      <x:c r="H24" s="11" t="n">
        <x:v>8</x:v>
      </x:c>
      <x:c r="I24" s="11" t="n">
        <x:v>4</x:v>
      </x:c>
      <x:c r="J24" s="11" t="n">
        <x:v>12</x:v>
      </x:c>
      <x:c r="K24" s="16" t="n">
        <x:f>IFERROR(H24/J24,"")</x:f>
        <x:v>0.6666666666666666</x:v>
      </x:c>
      <x:c r="L24" s="11" t="n">
        <x:v>352</x:v>
      </x:c>
      <x:c r="M24" s="11" t="n">
        <x:v>279</x:v>
      </x:c>
      <x:c r="N24" s="11" t="n">
        <x:f>L24-M24</x:f>
        <x:v>73</x:v>
      </x:c>
      <x:c r="O24" s="14" t="n">
        <x:f>IFERROR(L24/J24,"")</x:f>
        <x:v>29.333333333333332</x:v>
      </x:c>
      <x:c r="P24" s="14" t="n">
        <x:f>IFERROR(M24/J24,"")</x:f>
        <x:v>23.25</x:v>
      </x:c>
      <x:c r="Q24" s="11" t="str">
        <x:v>https://baratelliinstitute.com/college-football-payroll-by-school</x:v>
      </x:c>
      <x:c r="R24" s="11" t="str">
        <x:v>https://draftedge.com/cfb/cfb-team-rankings/</x:v>
      </x:c>
    </x:row>
    <x:row r="25">
      <x:c r="A25" s="11" t="n">
        <x:v>24</x:v>
      </x:c>
      <x:c r="B25" s="11" t="str">
        <x:v>Iowa</x:v>
      </x:c>
      <x:c r="C25" s="11" t="str">
        <x:v>Big Ten</x:v>
      </x:c>
      <x:c r="D25" s="14" t="n">
        <x:v>18</x:v>
      </x:c>
      <x:c r="E25" s="14" t="n">
        <x:v>23</x:v>
      </x:c>
      <x:c r="F25" s="14" t="n">
        <x:v>20.5</x:v>
      </x:c>
      <x:c r="G25" s="11" t="str">
        <x:v>UPPER-MID</x:v>
      </x:c>
      <x:c r="H25" s="11" t="n">
        <x:v>8</x:v>
      </x:c>
      <x:c r="I25" s="11" t="n">
        <x:v>4</x:v>
      </x:c>
      <x:c r="J25" s="11" t="n">
        <x:v>12</x:v>
      </x:c>
      <x:c r="K25" s="16" t="n">
        <x:f>IFERROR(H25/J25,"")</x:f>
        <x:v>0.6666666666666666</x:v>
      </x:c>
      <x:c r="L25" s="11" t="n">
        <x:v>347</x:v>
      </x:c>
      <x:c r="M25" s="11" t="n">
        <x:v>182</x:v>
      </x:c>
      <x:c r="N25" s="11" t="n">
        <x:f>L25-M25</x:f>
        <x:v>165</x:v>
      </x:c>
      <x:c r="O25" s="14" t="n">
        <x:f>IFERROR(L25/J25,"")</x:f>
        <x:v>28.916666666666668</x:v>
      </x:c>
      <x:c r="P25" s="14" t="n">
        <x:f>IFERROR(M25/J25,"")</x:f>
        <x:v>15.166666666666666</x:v>
      </x:c>
      <x:c r="Q25" s="11" t="str">
        <x:v>https://baratelliinstitute.com/college-football-payroll-by-school</x:v>
      </x:c>
      <x:c r="R25" s="11" t="str">
        <x:v>https://draftedge.com/cfb/cfb-team-rankings/</x:v>
      </x:c>
    </x:row>
    <x:row r="26">
      <x:c r="A26" s="11" t="n">
        <x:v>25</x:v>
      </x:c>
      <x:c r="B26" s="11" t="str">
        <x:v>Kentucky</x:v>
      </x:c>
      <x:c r="C26" s="11" t="str">
        <x:v>SEC</x:v>
      </x:c>
      <x:c r="D26" s="14" t="n">
        <x:v>18</x:v>
      </x:c>
      <x:c r="E26" s="14" t="n">
        <x:v>23</x:v>
      </x:c>
      <x:c r="F26" s="14" t="n">
        <x:v>20.5</x:v>
      </x:c>
      <x:c r="G26" s="11" t="str">
        <x:v>UPPER-MID</x:v>
      </x:c>
      <x:c r="H26" s="11" t="n">
        <x:v>5</x:v>
      </x:c>
      <x:c r="I26" s="11" t="n">
        <x:v>7</x:v>
      </x:c>
      <x:c r="J26" s="11" t="n">
        <x:v>12</x:v>
      </x:c>
      <x:c r="K26" s="16" t="n">
        <x:f>IFERROR(H26/J26,"")</x:f>
        <x:v>0.4166666666666667</x:v>
      </x:c>
      <x:c r="L26" s="11" t="n">
        <x:v>276</x:v>
      </x:c>
      <x:c r="M26" s="11" t="n">
        <x:v>317</x:v>
      </x:c>
      <x:c r="N26" s="11" t="n">
        <x:f>L26-M26</x:f>
        <x:v>-41</x:v>
      </x:c>
      <x:c r="O26" s="14" t="n">
        <x:f>IFERROR(L26/J26,"")</x:f>
        <x:v>23</x:v>
      </x:c>
      <x:c r="P26" s="14" t="n">
        <x:f>IFERROR(M26/J26,"")</x:f>
        <x:v>26.416666666666668</x:v>
      </x:c>
      <x:c r="Q26" s="11" t="str">
        <x:v>https://baratelliinstitute.com/college-football-payroll-by-school</x:v>
      </x:c>
      <x:c r="R26" s="11" t="str">
        <x:v>https://draftedge.com/cfb/cfb-team-rankings/</x:v>
      </x:c>
    </x:row>
    <x:row r="27">
      <x:c r="A27" s="11" t="n">
        <x:v>26</x:v>
      </x:c>
      <x:c r="B27" s="11" t="str">
        <x:v>Michigan State</x:v>
      </x:c>
      <x:c r="C27" s="11" t="str">
        <x:v>Big Ten</x:v>
      </x:c>
      <x:c r="D27" s="14" t="n">
        <x:v>18</x:v>
      </x:c>
      <x:c r="E27" s="14" t="n">
        <x:v>23</x:v>
      </x:c>
      <x:c r="F27" s="14" t="n">
        <x:v>20.5</x:v>
      </x:c>
      <x:c r="G27" s="11" t="str">
        <x:v>UPPER-MID</x:v>
      </x:c>
      <x:c r="H27" s="11" t="n">
        <x:v>4</x:v>
      </x:c>
      <x:c r="I27" s="11" t="n">
        <x:v>8</x:v>
      </x:c>
      <x:c r="J27" s="11" t="n">
        <x:v>12</x:v>
      </x:c>
      <x:c r="K27" s="16" t="n">
        <x:f>IFERROR(H27/J27,"")</x:f>
        <x:v>0.3333333333333333</x:v>
      </x:c>
      <x:c r="L27" s="11" t="n">
        <x:v>295</x:v>
      </x:c>
      <x:c r="M27" s="11" t="n">
        <x:v>359</x:v>
      </x:c>
      <x:c r="N27" s="11" t="n">
        <x:f>L27-M27</x:f>
        <x:v>-64</x:v>
      </x:c>
      <x:c r="O27" s="14" t="n">
        <x:f>IFERROR(L27/J27,"")</x:f>
        <x:v>24.583333333333332</x:v>
      </x:c>
      <x:c r="P27" s="14" t="n">
        <x:f>IFERROR(M27/J27,"")</x:f>
        <x:v>29.916666666666668</x:v>
      </x:c>
      <x:c r="Q27" s="11" t="str">
        <x:v>https://baratelliinstitute.com/college-football-payroll-by-school</x:v>
      </x:c>
      <x:c r="R27" s="11" t="str">
        <x:v>https://draftedge.com/cfb/cfb-team-rankings/</x:v>
      </x:c>
    </x:row>
    <x:row r="28">
      <x:c r="A28" s="11" t="n">
        <x:v>27</x:v>
      </x:c>
      <x:c r="B28" s="11" t="str">
        <x:v>Minnesota</x:v>
      </x:c>
      <x:c r="C28" s="11" t="str">
        <x:v>Big Ten</x:v>
      </x:c>
      <x:c r="D28" s="14" t="n">
        <x:v>18</x:v>
      </x:c>
      <x:c r="E28" s="14" t="n">
        <x:v>23</x:v>
      </x:c>
      <x:c r="F28" s="14" t="n">
        <x:v>20.5</x:v>
      </x:c>
      <x:c r="G28" s="11" t="str">
        <x:v>UPPER-MID</x:v>
      </x:c>
      <x:c r="H28" s="11" t="n">
        <x:v>7</x:v>
      </x:c>
      <x:c r="I28" s="11" t="n">
        <x:v>5</x:v>
      </x:c>
      <x:c r="J28" s="11" t="n">
        <x:v>12</x:v>
      </x:c>
      <x:c r="K28" s="16" t="n">
        <x:f>IFERROR(H28/J28,"")</x:f>
        <x:v>0.5833333333333334</x:v>
      </x:c>
      <x:c r="L28" s="11" t="n">
        <x:v>279</x:v>
      </x:c>
      <x:c r="M28" s="11" t="n">
        <x:v>281</x:v>
      </x:c>
      <x:c r="N28" s="11" t="n">
        <x:f>L28-M28</x:f>
        <x:v>-2</x:v>
      </x:c>
      <x:c r="O28" s="14" t="n">
        <x:f>IFERROR(L28/J28,"")</x:f>
        <x:v>23.25</x:v>
      </x:c>
      <x:c r="P28" s="14" t="n">
        <x:f>IFERROR(M28/J28,"")</x:f>
        <x:v>23.416666666666668</x:v>
      </x:c>
      <x:c r="Q28" s="11" t="str">
        <x:v>https://baratelliinstitute.com/college-football-payroll-by-school</x:v>
      </x:c>
      <x:c r="R28" s="11" t="str">
        <x:v>https://draftedge.com/cfb/cfb-team-rankings/</x:v>
      </x:c>
    </x:row>
    <x:row r="29">
      <x:c r="A29" s="11" t="n">
        <x:v>28</x:v>
      </x:c>
      <x:c r="B29" s="11" t="str">
        <x:v>Missouri</x:v>
      </x:c>
      <x:c r="C29" s="11" t="str">
        <x:v>SEC</x:v>
      </x:c>
      <x:c r="D29" s="14" t="n">
        <x:v>18</x:v>
      </x:c>
      <x:c r="E29" s="14" t="n">
        <x:v>23</x:v>
      </x:c>
      <x:c r="F29" s="14" t="n">
        <x:v>20.5</x:v>
      </x:c>
      <x:c r="G29" s="11" t="str">
        <x:v>UPPER-MID</x:v>
      </x:c>
      <x:c r="H29" s="11" t="n">
        <x:v>8</x:v>
      </x:c>
      <x:c r="I29" s="11" t="n">
        <x:v>4</x:v>
      </x:c>
      <x:c r="J29" s="11" t="n">
        <x:v>12</x:v>
      </x:c>
      <x:c r="K29" s="16" t="n">
        <x:f>IFERROR(H29/J29,"")</x:f>
        <x:v>0.6666666666666666</x:v>
      </x:c>
      <x:c r="L29" s="11" t="n">
        <x:v>386</x:v>
      </x:c>
      <x:c r="M29" s="11" t="n">
        <x:v>233</x:v>
      </x:c>
      <x:c r="N29" s="11" t="n">
        <x:f>L29-M29</x:f>
        <x:v>153</x:v>
      </x:c>
      <x:c r="O29" s="14" t="n">
        <x:f>IFERROR(L29/J29,"")</x:f>
        <x:v>32.166666666666664</x:v>
      </x:c>
      <x:c r="P29" s="14" t="n">
        <x:f>IFERROR(M29/J29,"")</x:f>
        <x:v>19.416666666666668</x:v>
      </x:c>
      <x:c r="Q29" s="11" t="str">
        <x:v>https://baratelliinstitute.com/college-football-payroll-by-school</x:v>
      </x:c>
      <x:c r="R29" s="11" t="str">
        <x:v>https://draftedge.com/cfb/cfb-team-rankings/</x:v>
      </x:c>
    </x:row>
    <x:row r="30">
      <x:c r="A30" s="11" t="n">
        <x:v>29</x:v>
      </x:c>
      <x:c r="B30" s="11" t="str">
        <x:v>UCLA</x:v>
      </x:c>
      <x:c r="C30" s="11" t="str">
        <x:v>Big Ten</x:v>
      </x:c>
      <x:c r="D30" s="14" t="n">
        <x:v>18</x:v>
      </x:c>
      <x:c r="E30" s="14" t="n">
        <x:v>23</x:v>
      </x:c>
      <x:c r="F30" s="14" t="n">
        <x:v>20.5</x:v>
      </x:c>
      <x:c r="G30" s="11" t="str">
        <x:v>UPPER-MID</x:v>
      </x:c>
      <x:c r="H30" s="11" t="n">
        <x:v>3</x:v>
      </x:c>
      <x:c r="I30" s="11" t="n">
        <x:v>9</x:v>
      </x:c>
      <x:c r="J30" s="11" t="n">
        <x:v>12</x:v>
      </x:c>
      <x:c r="K30" s="16" t="n">
        <x:f>IFERROR(H30/J30,"")</x:f>
        <x:v>0.25</x:v>
      </x:c>
      <x:c r="L30" s="11" t="n">
        <x:v>218</x:v>
      </x:c>
      <x:c r="M30" s="11" t="n">
        <x:v>401</x:v>
      </x:c>
      <x:c r="N30" s="11" t="n">
        <x:f>L30-M30</x:f>
        <x:v>-183</x:v>
      </x:c>
      <x:c r="O30" s="14" t="n">
        <x:f>IFERROR(L30/J30,"")</x:f>
        <x:v>18.166666666666668</x:v>
      </x:c>
      <x:c r="P30" s="14" t="n">
        <x:f>IFERROR(M30/J30,"")</x:f>
        <x:v>33.416666666666664</x:v>
      </x:c>
      <x:c r="Q30" s="11" t="str">
        <x:v>https://baratelliinstitute.com/college-football-payroll-by-school</x:v>
      </x:c>
      <x:c r="R30" s="11" t="str">
        <x:v>https://draftedge.com/cfb/cfb-team-rankings/</x:v>
      </x:c>
    </x:row>
    <x:row r="31">
      <x:c r="A31" s="11" t="n">
        <x:v>30</x:v>
      </x:c>
      <x:c r="B31" s="11" t="str">
        <x:v>Clemson</x:v>
      </x:c>
      <x:c r="C31" s="11" t="str">
        <x:v>ACC</x:v>
      </x:c>
      <x:c r="D31" s="14" t="n">
        <x:v>17</x:v>
      </x:c>
      <x:c r="E31" s="14" t="n">
        <x:v>23</x:v>
      </x:c>
      <x:c r="F31" s="14" t="n">
        <x:v>20</x:v>
      </x:c>
      <x:c r="G31" s="11" t="str">
        <x:v>UPPER-MID</x:v>
      </x:c>
      <x:c r="H31" s="11" t="n">
        <x:v>7</x:v>
      </x:c>
      <x:c r="I31" s="11" t="n">
        <x:v>5</x:v>
      </x:c>
      <x:c r="J31" s="11" t="n">
        <x:v>12</x:v>
      </x:c>
      <x:c r="K31" s="16" t="n">
        <x:f>IFERROR(H31/J31,"")</x:f>
        <x:v>0.5833333333333334</x:v>
      </x:c>
      <x:c r="L31" s="11" t="n">
        <x:v>344</x:v>
      </x:c>
      <x:c r="M31" s="11" t="n">
        <x:v>245</x:v>
      </x:c>
      <x:c r="N31" s="11" t="n">
        <x:f>L31-M31</x:f>
        <x:v>99</x:v>
      </x:c>
      <x:c r="O31" s="14" t="n">
        <x:f>IFERROR(L31/J31,"")</x:f>
        <x:v>28.666666666666668</x:v>
      </x:c>
      <x:c r="P31" s="14" t="n">
        <x:f>IFERROR(M31/J31,"")</x:f>
        <x:v>20.416666666666668</x:v>
      </x:c>
      <x:c r="Q31" s="11" t="str">
        <x:v>https://baratelliinstitute.com/college-football-payroll-by-school</x:v>
      </x:c>
      <x:c r="R31" s="11" t="str">
        <x:v>https://draftedge.com/cfb/cfb-team-rankings/</x:v>
      </x:c>
    </x:row>
    <x:row r="32">
      <x:c r="A32" s="11" t="n">
        <x:v>31</x:v>
      </x:c>
      <x:c r="B32" s="11" t="str">
        <x:v>Florida State</x:v>
      </x:c>
      <x:c r="C32" s="11" t="str">
        <x:v>ACC</x:v>
      </x:c>
      <x:c r="D32" s="14" t="n">
        <x:v>17</x:v>
      </x:c>
      <x:c r="E32" s="14" t="n">
        <x:v>23</x:v>
      </x:c>
      <x:c r="F32" s="14" t="n">
        <x:v>20</x:v>
      </x:c>
      <x:c r="G32" s="11" t="str">
        <x:v>UPPER-MID</x:v>
      </x:c>
      <x:c r="H32" s="11" t="n">
        <x:v>5</x:v>
      </x:c>
      <x:c r="I32" s="11" t="n">
        <x:v>7</x:v>
      </x:c>
      <x:c r="J32" s="11" t="n">
        <x:v>12</x:v>
      </x:c>
      <x:c r="K32" s="16" t="n">
        <x:f>IFERROR(H32/J32,"")</x:f>
        <x:v>0.4166666666666667</x:v>
      </x:c>
      <x:c r="L32" s="11" t="n">
        <x:v>396</x:v>
      </x:c>
      <x:c r="M32" s="11" t="n">
        <x:v>264</x:v>
      </x:c>
      <x:c r="N32" s="11" t="n">
        <x:f>L32-M32</x:f>
        <x:v>132</x:v>
      </x:c>
      <x:c r="O32" s="14" t="n">
        <x:f>IFERROR(L32/J32,"")</x:f>
        <x:v>33</x:v>
      </x:c>
      <x:c r="P32" s="14" t="n">
        <x:f>IFERROR(M32/J32,"")</x:f>
        <x:v>22</x:v>
      </x:c>
      <x:c r="Q32" s="11" t="str">
        <x:v>https://baratelliinstitute.com/college-football-payroll-by-school</x:v>
      </x:c>
      <x:c r="R32" s="11" t="str">
        <x:v>https://seminoles.com/sports/football/schedule/text/2025</x:v>
      </x:c>
    </x:row>
    <x:row r="33">
      <x:c r="A33" s="11" t="n">
        <x:v>32</x:v>
      </x:c>
      <x:c r="B33" s="11" t="str">
        <x:v>Arkansas</x:v>
      </x:c>
      <x:c r="C33" s="11" t="str">
        <x:v>SEC</x:v>
      </x:c>
      <x:c r="D33" s="14" t="n">
        <x:v>17</x:v>
      </x:c>
      <x:c r="E33" s="14" t="n">
        <x:v>22</x:v>
      </x:c>
      <x:c r="F33" s="14" t="n">
        <x:v>19.5</x:v>
      </x:c>
      <x:c r="G33" s="11" t="str">
        <x:v>MID</x:v>
      </x:c>
      <x:c r="H33" s="11" t="n">
        <x:v>2</x:v>
      </x:c>
      <x:c r="I33" s="11" t="n">
        <x:v>10</x:v>
      </x:c>
      <x:c r="J33" s="11" t="n">
        <x:v>12</x:v>
      </x:c>
      <x:c r="K33" s="16" t="n">
        <x:f>IFERROR(H33/J33,"")</x:f>
        <x:v>0.16666666666666666</x:v>
      </x:c>
      <x:c r="L33" s="11" t="n">
        <x:v>395</x:v>
      </x:c>
      <x:c r="M33" s="11" t="n">
        <x:v>406</x:v>
      </x:c>
      <x:c r="N33" s="11" t="n">
        <x:f>L33-M33</x:f>
        <x:v>-11</x:v>
      </x:c>
      <x:c r="O33" s="14" t="n">
        <x:f>IFERROR(L33/J33,"")</x:f>
        <x:v>32.916666666666664</x:v>
      </x:c>
      <x:c r="P33" s="14" t="n">
        <x:f>IFERROR(M33/J33,"")</x:f>
        <x:v>33.833333333333336</x:v>
      </x:c>
      <x:c r="Q33" s="11" t="str">
        <x:v>https://baratelliinstitute.com/college-football-payroll-by-school</x:v>
      </x:c>
      <x:c r="R33" s="11" t="str">
        <x:v>https://draftedge.com/cfb/cfb-team-rankings/</x:v>
      </x:c>
    </x:row>
    <x:row r="34">
      <x:c r="A34" s="11" t="n">
        <x:v>33</x:v>
      </x:c>
      <x:c r="B34" s="11" t="str">
        <x:v>Maryland</x:v>
      </x:c>
      <x:c r="C34" s="11" t="str">
        <x:v>Big Ten</x:v>
      </x:c>
      <x:c r="D34" s="14" t="n">
        <x:v>16</x:v>
      </x:c>
      <x:c r="E34" s="14" t="n">
        <x:v>21</x:v>
      </x:c>
      <x:c r="F34" s="14" t="n">
        <x:v>18.5</x:v>
      </x:c>
      <x:c r="G34" s="11" t="str">
        <x:v>MID</x:v>
      </x:c>
      <x:c r="H34" s="11" t="n">
        <x:v>4</x:v>
      </x:c>
      <x:c r="I34" s="11" t="n">
        <x:v>8</x:v>
      </x:c>
      <x:c r="J34" s="11" t="n">
        <x:v>12</x:v>
      </x:c>
      <x:c r="K34" s="16" t="n">
        <x:f>IFERROR(H34/J34,"")</x:f>
        <x:v>0.3333333333333333</x:v>
      </x:c>
      <x:c r="L34" s="11" t="n">
        <x:v>282</x:v>
      </x:c>
      <x:c r="M34" s="11" t="n">
        <x:v>318</x:v>
      </x:c>
      <x:c r="N34" s="11" t="n">
        <x:f>L34-M34</x:f>
        <x:v>-36</x:v>
      </x:c>
      <x:c r="O34" s="14" t="n">
        <x:f>IFERROR(L34/J34,"")</x:f>
        <x:v>23.5</x:v>
      </x:c>
      <x:c r="P34" s="14" t="n">
        <x:f>IFERROR(M34/J34,"")</x:f>
        <x:v>26.5</x:v>
      </x:c>
      <x:c r="Q34" s="11" t="str">
        <x:v>https://baratelliinstitute.com/college-football-payroll-by-school</x:v>
      </x:c>
      <x:c r="R34" s="11" t="str">
        <x:v>https://draftedge.com/cfb/cfb-team-rankings/</x:v>
      </x:c>
    </x:row>
    <x:row r="35">
      <x:c r="A35" s="11" t="n">
        <x:v>34</x:v>
      </x:c>
      <x:c r="B35" s="11" t="str">
        <x:v>North Carolina</x:v>
      </x:c>
      <x:c r="C35" s="11" t="str">
        <x:v>ACC</x:v>
      </x:c>
      <x:c r="D35" s="14" t="n">
        <x:v>16</x:v>
      </x:c>
      <x:c r="E35" s="14" t="n">
        <x:v>21</x:v>
      </x:c>
      <x:c r="F35" s="14" t="n">
        <x:v>18.5</x:v>
      </x:c>
      <x:c r="G35" s="11" t="str">
        <x:v>MID</x:v>
      </x:c>
      <x:c r="H35" s="11" t="n">
        <x:v>4</x:v>
      </x:c>
      <x:c r="I35" s="11" t="n">
        <x:v>8</x:v>
      </x:c>
      <x:c r="J35" s="11" t="n">
        <x:v>12</x:v>
      </x:c>
      <x:c r="K35" s="16" t="n">
        <x:f>IFERROR(H35/J35,"")</x:f>
        <x:v>0.3333333333333333</x:v>
      </x:c>
      <x:c r="L35" s="11" t="n">
        <x:v>231</x:v>
      </x:c>
      <x:c r="M35" s="11" t="n">
        <x:v>294</x:v>
      </x:c>
      <x:c r="N35" s="11" t="n">
        <x:f>L35-M35</x:f>
        <x:v>-63</x:v>
      </x:c>
      <x:c r="O35" s="14" t="n">
        <x:f>IFERROR(L35/J35,"")</x:f>
        <x:v>19.25</x:v>
      </x:c>
      <x:c r="P35" s="14" t="n">
        <x:f>IFERROR(M35/J35,"")</x:f>
        <x:v>24.5</x:v>
      </x:c>
      <x:c r="Q35" s="11" t="str">
        <x:v>https://baratelliinstitute.com/college-football-payroll-by-school</x:v>
      </x:c>
      <x:c r="R35" s="11" t="str">
        <x:v>https://draftedge.com/cfb/cfb-team-rankings/</x:v>
      </x:c>
    </x:row>
    <x:row r="36">
      <x:c r="A36" s="11" t="n">
        <x:v>35</x:v>
      </x:c>
      <x:c r="B36" s="11" t="str">
        <x:v>Virginia Tech</x:v>
      </x:c>
      <x:c r="C36" s="11" t="str">
        <x:v>ACC</x:v>
      </x:c>
      <x:c r="D36" s="14" t="n">
        <x:v>16</x:v>
      </x:c>
      <x:c r="E36" s="14" t="n">
        <x:v>21</x:v>
      </x:c>
      <x:c r="F36" s="14" t="n">
        <x:v>18.5</x:v>
      </x:c>
      <x:c r="G36" s="11" t="str">
        <x:v>MID</x:v>
      </x:c>
      <x:c r="H36" s="11" t="n">
        <x:v>3</x:v>
      </x:c>
      <x:c r="I36" s="11" t="n">
        <x:v>9</x:v>
      </x:c>
      <x:c r="J36" s="11" t="n">
        <x:v>12</x:v>
      </x:c>
      <x:c r="K36" s="16" t="n">
        <x:f>IFERROR(H36/J36,"")</x:f>
        <x:v>0.25</x:v>
      </x:c>
      <x:c r="L36" s="11" t="n">
        <x:v>257</x:v>
      </x:c>
      <x:c r="M36" s="11" t="n">
        <x:v>362</x:v>
      </x:c>
      <x:c r="N36" s="11" t="n">
        <x:f>L36-M36</x:f>
        <x:v>-105</x:v>
      </x:c>
      <x:c r="O36" s="14" t="n">
        <x:f>IFERROR(L36/J36,"")</x:f>
        <x:v>21.416666666666668</x:v>
      </x:c>
      <x:c r="P36" s="14" t="n">
        <x:f>IFERROR(M36/J36,"")</x:f>
        <x:v>30.166666666666668</x:v>
      </x:c>
      <x:c r="Q36" s="11" t="str">
        <x:v>https://baratelliinstitute.com/college-football-payroll-by-school</x:v>
      </x:c>
      <x:c r="R36" s="11" t="str">
        <x:v>https://draftedge.com/cfb/cfb-team-rankings/</x:v>
      </x:c>
    </x:row>
    <x:row r="37">
      <x:c r="A37" s="11" t="n">
        <x:v>36</x:v>
      </x:c>
      <x:c r="B37" s="11" t="str">
        <x:v>Mississippi State</x:v>
      </x:c>
      <x:c r="C37" s="11" t="str">
        <x:v>SEC</x:v>
      </x:c>
      <x:c r="D37" s="14" t="n">
        <x:v>16</x:v>
      </x:c>
      <x:c r="E37" s="14" t="n">
        <x:v>20</x:v>
      </x:c>
      <x:c r="F37" s="14" t="n">
        <x:v>18</x:v>
      </x:c>
      <x:c r="G37" s="11" t="str">
        <x:v>MID</x:v>
      </x:c>
      <x:c r="H37" s="11" t="n">
        <x:v>5</x:v>
      </x:c>
      <x:c r="I37" s="11" t="n">
        <x:v>7</x:v>
      </x:c>
      <x:c r="J37" s="11" t="n">
        <x:v>12</x:v>
      </x:c>
      <x:c r="K37" s="16" t="n">
        <x:f>IFERROR(H37/J37,"")</x:f>
        <x:v>0.4166666666666667</x:v>
      </x:c>
      <x:c r="L37" s="11" t="n">
        <x:v>366</x:v>
      </x:c>
      <x:c r="M37" s="11" t="n">
        <x:v>350</x:v>
      </x:c>
      <x:c r="N37" s="11" t="n">
        <x:f>L37-M37</x:f>
        <x:v>16</x:v>
      </x:c>
      <x:c r="O37" s="14" t="n">
        <x:f>IFERROR(L37/J37,"")</x:f>
        <x:v>30.5</x:v>
      </x:c>
      <x:c r="P37" s="14" t="n">
        <x:f>IFERROR(M37/J37,"")</x:f>
        <x:v>29.166666666666668</x:v>
      </x:c>
      <x:c r="Q37" s="11" t="str">
        <x:v>https://baratelliinstitute.com/college-football-payroll-by-school</x:v>
      </x:c>
      <x:c r="R37" s="11" t="str">
        <x:v>https://draftedge.com/cfb/cfb-team-rankings/</x:v>
      </x:c>
    </x:row>
    <x:row r="38">
      <x:c r="A38" s="11" t="n">
        <x:v>37</x:v>
      </x:c>
      <x:c r="B38" s="11" t="str">
        <x:v>Purdue</x:v>
      </x:c>
      <x:c r="C38" s="11" t="str">
        <x:v>Big Ten</x:v>
      </x:c>
      <x:c r="D38" s="14" t="n">
        <x:v>16</x:v>
      </x:c>
      <x:c r="E38" s="14" t="n">
        <x:v>20</x:v>
      </x:c>
      <x:c r="F38" s="14" t="n">
        <x:v>18</x:v>
      </x:c>
      <x:c r="G38" s="11" t="str">
        <x:v>MID</x:v>
      </x:c>
      <x:c r="H38" s="11" t="n">
        <x:v>2</x:v>
      </x:c>
      <x:c r="I38" s="11" t="n">
        <x:v>10</x:v>
      </x:c>
      <x:c r="J38" s="11" t="n">
        <x:v>12</x:v>
      </x:c>
      <x:c r="K38" s="16" t="n">
        <x:f>IFERROR(H38/J38,"")</x:f>
        <x:v>0.16666666666666666</x:v>
      </x:c>
      <x:c r="L38" s="11" t="n">
        <x:v>225</x:v>
      </x:c>
      <x:c r="M38" s="11" t="n">
        <x:v>382</x:v>
      </x:c>
      <x:c r="N38" s="11" t="n">
        <x:f>L38-M38</x:f>
        <x:v>-157</x:v>
      </x:c>
      <x:c r="O38" s="14" t="n">
        <x:f>IFERROR(L38/J38,"")</x:f>
        <x:v>18.75</x:v>
      </x:c>
      <x:c r="P38" s="14" t="n">
        <x:f>IFERROR(M38/J38,"")</x:f>
        <x:v>31.833333333333332</x:v>
      </x:c>
      <x:c r="Q38" s="11" t="str">
        <x:v>https://baratelliinstitute.com/college-football-payroll-by-school</x:v>
      </x:c>
      <x:c r="R38" s="11" t="str">
        <x:v>https://draftedge.com/cfb/cfb-team-rankings/</x:v>
      </x:c>
    </x:row>
    <x:row r="39">
      <x:c r="A39" s="11" t="n">
        <x:v>38</x:v>
      </x:c>
      <x:c r="B39" s="11" t="str">
        <x:v>Rutgers</x:v>
      </x:c>
      <x:c r="C39" s="11" t="str">
        <x:v>Big Ten</x:v>
      </x:c>
      <x:c r="D39" s="14" t="n">
        <x:v>16</x:v>
      </x:c>
      <x:c r="E39" s="14" t="n">
        <x:v>20</x:v>
      </x:c>
      <x:c r="F39" s="14" t="n">
        <x:v>18</x:v>
      </x:c>
      <x:c r="G39" s="11" t="str">
        <x:v>MID</x:v>
      </x:c>
      <x:c r="H39" s="11" t="n">
        <x:v>5</x:v>
      </x:c>
      <x:c r="I39" s="11" t="n">
        <x:v>7</x:v>
      </x:c>
      <x:c r="J39" s="11" t="n">
        <x:v>12</x:v>
      </x:c>
      <x:c r="K39" s="16" t="n">
        <x:f>IFERROR(H39/J39,"")</x:f>
        <x:v>0.4166666666666667</x:v>
      </x:c>
      <x:c r="L39" s="11" t="n">
        <x:v>344</x:v>
      </x:c>
      <x:c r="M39" s="11" t="n">
        <x:v>382</x:v>
      </x:c>
      <x:c r="N39" s="11" t="n">
        <x:f>L39-M39</x:f>
        <x:v>-38</x:v>
      </x:c>
      <x:c r="O39" s="14" t="n">
        <x:f>IFERROR(L39/J39,"")</x:f>
        <x:v>28.666666666666668</x:v>
      </x:c>
      <x:c r="P39" s="14" t="n">
        <x:f>IFERROR(M39/J39,"")</x:f>
        <x:v>31.833333333333332</x:v>
      </x:c>
      <x:c r="Q39" s="11" t="str">
        <x:v>https://baratelliinstitute.com/college-football-payroll-by-school</x:v>
      </x:c>
      <x:c r="R39" s="11" t="str">
        <x:v>https://draftedge.com/cfb/cfb-team-rankings/</x:v>
      </x:c>
    </x:row>
    <x:row r="40">
      <x:c r="A40" s="11" t="n">
        <x:v>39</x:v>
      </x:c>
      <x:c r="B40" s="11" t="str">
        <x:v>Louisville</x:v>
      </x:c>
      <x:c r="C40" s="11" t="str">
        <x:v>ACC</x:v>
      </x:c>
      <x:c r="D40" s="14" t="n">
        <x:v>15</x:v>
      </x:c>
      <x:c r="E40" s="14" t="n">
        <x:v>20</x:v>
      </x:c>
      <x:c r="F40" s="14" t="n">
        <x:v>17.5</x:v>
      </x:c>
      <x:c r="G40" s="11" t="str">
        <x:v>MID</x:v>
      </x:c>
      <x:c r="H40" s="11" t="n">
        <x:v>8</x:v>
      </x:c>
      <x:c r="I40" s="11" t="n">
        <x:v>4</x:v>
      </x:c>
      <x:c r="J40" s="11" t="n">
        <x:v>12</x:v>
      </x:c>
      <x:c r="K40" s="16" t="n">
        <x:f>IFERROR(H40/J40,"")</x:f>
        <x:v>0.6666666666666666</x:v>
      </x:c>
      <x:c r="L40" s="11" t="n">
        <x:v>362</x:v>
      </x:c>
      <x:c r="M40" s="11" t="n">
        <x:v>253</x:v>
      </x:c>
      <x:c r="N40" s="11" t="n">
        <x:f>L40-M40</x:f>
        <x:v>109</x:v>
      </x:c>
      <x:c r="O40" s="14" t="n">
        <x:f>IFERROR(L40/J40,"")</x:f>
        <x:v>30.166666666666668</x:v>
      </x:c>
      <x:c r="P40" s="14" t="n">
        <x:f>IFERROR(M40/J40,"")</x:f>
        <x:v>21.083333333333332</x:v>
      </x:c>
      <x:c r="Q40" s="11" t="str">
        <x:v>https://baratelliinstitute.com/college-football-payroll-by-school</x:v>
      </x:c>
      <x:c r="R40" s="11" t="str">
        <x:v>https://draftedge.com/cfb/cfb-team-rankings/</x:v>
      </x:c>
    </x:row>
    <x:row r="41">
      <x:c r="A41" s="11" t="n">
        <x:v>40</x:v>
      </x:c>
      <x:c r="B41" s="11" t="str">
        <x:v>Northwestern</x:v>
      </x:c>
      <x:c r="C41" s="11" t="str">
        <x:v>Big Ten</x:v>
      </x:c>
      <x:c r="D41" s="14" t="n">
        <x:v>15</x:v>
      </x:c>
      <x:c r="E41" s="14" t="n">
        <x:v>20</x:v>
      </x:c>
      <x:c r="F41" s="14" t="n">
        <x:v>17.5</x:v>
      </x:c>
      <x:c r="G41" s="11" t="str">
        <x:v>MID</x:v>
      </x:c>
      <x:c r="H41" s="11" t="n">
        <x:v>6</x:v>
      </x:c>
      <x:c r="I41" s="11" t="n">
        <x:v>6</x:v>
      </x:c>
      <x:c r="J41" s="11" t="n">
        <x:v>12</x:v>
      </x:c>
      <x:c r="K41" s="16" t="n">
        <x:f>IFERROR(H41/J41,"")</x:f>
        <x:v>0.5</x:v>
      </x:c>
      <x:c r="L41" s="11" t="n">
        <x:v>270</x:v>
      </x:c>
      <x:c r="M41" s="11" t="n">
        <x:v>251</x:v>
      </x:c>
      <x:c r="N41" s="11" t="n">
        <x:f>L41-M41</x:f>
        <x:v>19</x:v>
      </x:c>
      <x:c r="O41" s="14" t="n">
        <x:f>IFERROR(L41/J41,"")</x:f>
        <x:v>22.5</x:v>
      </x:c>
      <x:c r="P41" s="14" t="n">
        <x:f>IFERROR(M41/J41,"")</x:f>
        <x:v>20.916666666666668</x:v>
      </x:c>
      <x:c r="Q41" s="11" t="str">
        <x:v>https://baratelliinstitute.com/college-football-payroll-by-school</x:v>
      </x:c>
      <x:c r="R41" s="11" t="str">
        <x:v>https://draftedge.com/cfb/cfb-team-rankings/</x:v>
      </x:c>
    </x:row>
    <x:row r="42">
      <x:c r="A42" s="11" t="n">
        <x:v>41</x:v>
      </x:c>
      <x:c r="B42" s="11" t="str">
        <x:v>Texas Tech</x:v>
      </x:c>
      <x:c r="C42" s="11" t="str">
        <x:v>Big 12</x:v>
      </x:c>
      <x:c r="D42" s="14" t="n">
        <x:v>15</x:v>
      </x:c>
      <x:c r="E42" s="14" t="n">
        <x:v>20</x:v>
      </x:c>
      <x:c r="F42" s="14" t="n">
        <x:v>17.5</x:v>
      </x:c>
      <x:c r="G42" s="11" t="str">
        <x:v>MID</x:v>
      </x:c>
      <x:c r="H42" s="11" t="n">
        <x:v>11</x:v>
      </x:c>
      <x:c r="I42" s="11" t="n">
        <x:v>1</x:v>
      </x:c>
      <x:c r="J42" s="11" t="n">
        <x:v>12</x:v>
      </x:c>
      <x:c r="K42" s="16" t="n">
        <x:f>IFERROR(H42/J42,"")</x:f>
        <x:v>0.9166666666666666</x:v>
      </x:c>
      <x:c r="L42" s="11" t="n">
        <x:v>518</x:v>
      </x:c>
      <x:c r="M42" s="11" t="n">
        <x:v>135</x:v>
      </x:c>
      <x:c r="N42" s="11" t="n">
        <x:f>L42-M42</x:f>
        <x:v>383</x:v>
      </x:c>
      <x:c r="O42" s="14" t="n">
        <x:f>IFERROR(L42/J42,"")</x:f>
        <x:v>43.166666666666664</x:v>
      </x:c>
      <x:c r="P42" s="14" t="n">
        <x:f>IFERROR(M42/J42,"")</x:f>
        <x:v>11.25</x:v>
      </x:c>
      <x:c r="Q42" s="11" t="str">
        <x:v>https://baratelliinstitute.com/college-football-payroll-by-school</x:v>
      </x:c>
      <x:c r="R42" s="11" t="str">
        <x:v>https://texastech.com/game-center/21665</x:v>
      </x:c>
    </x:row>
    <x:row r="43">
      <x:c r="A43" s="11" t="n">
        <x:v>42</x:v>
      </x:c>
      <x:c r="B43" s="11" t="str">
        <x:v>Utah</x:v>
      </x:c>
      <x:c r="C43" s="11" t="str">
        <x:v>Big 12</x:v>
      </x:c>
      <x:c r="D43" s="14" t="n">
        <x:v>14</x:v>
      </x:c>
      <x:c r="E43" s="14" t="n">
        <x:v>20</x:v>
      </x:c>
      <x:c r="F43" s="14" t="n">
        <x:v>17</x:v>
      </x:c>
      <x:c r="G43" s="11" t="str">
        <x:v>MID</x:v>
      </x:c>
      <x:c r="H43" s="11" t="n">
        <x:v>10</x:v>
      </x:c>
      <x:c r="I43" s="11" t="n">
        <x:v>2</x:v>
      </x:c>
      <x:c r="J43" s="11" t="n">
        <x:v>12</x:v>
      </x:c>
      <x:c r="K43" s="16" t="n">
        <x:f>IFERROR(H43/J43,"")</x:f>
        <x:v>0.8333333333333334</x:v>
      </x:c>
      <x:c r="L43" s="11" t="n">
        <x:v>493</x:v>
      </x:c>
      <x:c r="M43" s="11" t="n">
        <x:v>224</x:v>
      </x:c>
      <x:c r="N43" s="11" t="n">
        <x:f>L43-M43</x:f>
        <x:v>269</x:v>
      </x:c>
      <x:c r="O43" s="14" t="n">
        <x:f>IFERROR(L43/J43,"")</x:f>
        <x:v>41.083333333333336</x:v>
      </x:c>
      <x:c r="P43" s="14" t="n">
        <x:f>IFERROR(M43/J43,"")</x:f>
        <x:v>18.666666666666668</x:v>
      </x:c>
      <x:c r="Q43" s="11" t="str">
        <x:v>https://baratelliinstitute.com/college-football-payroll-by-school</x:v>
      </x:c>
      <x:c r="R43" s="11" t="str">
        <x:v>https://draftedge.com/cfb/cfb-team-rankings/</x:v>
      </x:c>
    </x:row>
    <x:row r="44">
      <x:c r="A44" s="11" t="n">
        <x:v>43</x:v>
      </x:c>
      <x:c r="B44" s="11" t="str">
        <x:v>Arizona State</x:v>
      </x:c>
      <x:c r="C44" s="11" t="str">
        <x:v>Big 12</x:v>
      </x:c>
      <x:c r="D44" s="14" t="n">
        <x:v>14</x:v>
      </x:c>
      <x:c r="E44" s="14" t="n">
        <x:v>19</x:v>
      </x:c>
      <x:c r="F44" s="14" t="n">
        <x:v>16.5</x:v>
      </x:c>
      <x:c r="G44" s="11" t="str">
        <x:v>MID</x:v>
      </x:c>
      <x:c r="H44" s="11" t="n">
        <x:v>8</x:v>
      </x:c>
      <x:c r="I44" s="11" t="n">
        <x:v>4</x:v>
      </x:c>
      <x:c r="J44" s="11" t="n">
        <x:v>12</x:v>
      </x:c>
      <x:c r="K44" s="16" t="n">
        <x:f>IFERROR(H44/J44,"")</x:f>
        <x:v>0.6666666666666666</x:v>
      </x:c>
      <x:c r="L44" s="11" t="n">
        <x:v>296</x:v>
      </x:c>
      <x:c r="M44" s="11" t="n">
        <x:v>276</x:v>
      </x:c>
      <x:c r="N44" s="11" t="n">
        <x:f>L44-M44</x:f>
        <x:v>20</x:v>
      </x:c>
      <x:c r="O44" s="14" t="n">
        <x:f>IFERROR(L44/J44,"")</x:f>
        <x:v>24.666666666666668</x:v>
      </x:c>
      <x:c r="P44" s="14" t="n">
        <x:f>IFERROR(M44/J44,"")</x:f>
        <x:v>23</x:v>
      </x:c>
      <x:c r="Q44" s="11" t="str">
        <x:v>https://baratelliinstitute.com/college-football-payroll-by-school</x:v>
      </x:c>
      <x:c r="R44" s="11" t="str">
        <x:v>https://draftedge.com/cfb/cfb-team-rankings/</x:v>
      </x:c>
    </x:row>
    <x:row r="45">
      <x:c r="A45" s="11" t="n">
        <x:v>44</x:v>
      </x:c>
      <x:c r="B45" s="11" t="str">
        <x:v>BYU</x:v>
      </x:c>
      <x:c r="C45" s="11" t="str">
        <x:v>Big 12</x:v>
      </x:c>
      <x:c r="D45" s="14" t="n">
        <x:v>14</x:v>
      </x:c>
      <x:c r="E45" s="14" t="n">
        <x:v>19</x:v>
      </x:c>
      <x:c r="F45" s="14" t="n">
        <x:v>16.5</x:v>
      </x:c>
      <x:c r="G45" s="11" t="str">
        <x:v>MID</x:v>
      </x:c>
      <x:c r="H45" s="11" t="n">
        <x:v>11</x:v>
      </x:c>
      <x:c r="I45" s="11" t="n">
        <x:v>1</x:v>
      </x:c>
      <x:c r="J45" s="11" t="n">
        <x:v>12</x:v>
      </x:c>
      <x:c r="K45" s="16" t="n">
        <x:f>IFERROR(H45/J45,"")</x:f>
        <x:v>0.9166666666666666</x:v>
      </x:c>
      <x:c r="L45" s="11" t="n">
        <x:v>408</x:v>
      </x:c>
      <x:c r="M45" s="11" t="n">
        <x:v>213</x:v>
      </x:c>
      <x:c r="N45" s="11" t="n">
        <x:f>L45-M45</x:f>
        <x:v>195</x:v>
      </x:c>
      <x:c r="O45" s="14" t="n">
        <x:f>IFERROR(L45/J45,"")</x:f>
        <x:v>34</x:v>
      </x:c>
      <x:c r="P45" s="14" t="n">
        <x:f>IFERROR(M45/J45,"")</x:f>
        <x:v>17.75</x:v>
      </x:c>
      <x:c r="Q45" s="11" t="str">
        <x:v>https://baratelliinstitute.com/college-football-payroll-by-school</x:v>
      </x:c>
      <x:c r="R45" s="11" t="str">
        <x:v>https://texastech.com/game-center/21665</x:v>
      </x:c>
    </x:row>
    <x:row r="46">
      <x:c r="A46" s="11" t="n">
        <x:v>45</x:v>
      </x:c>
      <x:c r="B46" s="11" t="str">
        <x:v>Baylor</x:v>
      </x:c>
      <x:c r="C46" s="11" t="str">
        <x:v>Big 12</x:v>
      </x:c>
      <x:c r="D46" s="14" t="n">
        <x:v>14</x:v>
      </x:c>
      <x:c r="E46" s="14" t="n">
        <x:v>19</x:v>
      </x:c>
      <x:c r="F46" s="14" t="n">
        <x:v>16.5</x:v>
      </x:c>
      <x:c r="G46" s="11" t="str">
        <x:v>MID</x:v>
      </x:c>
      <x:c r="H46" s="11" t="n">
        <x:v>5</x:v>
      </x:c>
      <x:c r="I46" s="11" t="n">
        <x:v>7</x:v>
      </x:c>
      <x:c r="J46" s="11" t="n">
        <x:v>12</x:v>
      </x:c>
      <x:c r="K46" s="16" t="n">
        <x:f>IFERROR(H46/J46,"")</x:f>
        <x:v>0.4166666666666667</x:v>
      </x:c>
      <x:c r="L46" s="11" t="n">
        <x:v>373</x:v>
      </x:c>
      <x:c r="M46" s="11" t="n">
        <x:v>391</x:v>
      </x:c>
      <x:c r="N46" s="11" t="n">
        <x:f>L46-M46</x:f>
        <x:v>-18</x:v>
      </x:c>
      <x:c r="O46" s="14" t="n">
        <x:f>IFERROR(L46/J46,"")</x:f>
        <x:v>31.083333333333332</x:v>
      </x:c>
      <x:c r="P46" s="14" t="n">
        <x:f>IFERROR(M46/J46,"")</x:f>
        <x:v>32.583333333333336</x:v>
      </x:c>
      <x:c r="Q46" s="11" t="str">
        <x:v>https://baratelliinstitute.com/college-football-payroll-by-school</x:v>
      </x:c>
      <x:c r="R46" s="11" t="str">
        <x:v>https://draftedge.com/cfb/cfb-team-rankings/</x:v>
      </x:c>
    </x:row>
    <x:row r="47">
      <x:c r="A47" s="11" t="n">
        <x:v>46</x:v>
      </x:c>
      <x:c r="B47" s="11" t="str">
        <x:v>Duke</x:v>
      </x:c>
      <x:c r="C47" s="11" t="str">
        <x:v>ACC</x:v>
      </x:c>
      <x:c r="D47" s="14" t="n">
        <x:v>14</x:v>
      </x:c>
      <x:c r="E47" s="14" t="n">
        <x:v>19</x:v>
      </x:c>
      <x:c r="F47" s="14" t="n">
        <x:v>16.5</x:v>
      </x:c>
      <x:c r="G47" s="11" t="str">
        <x:v>MID</x:v>
      </x:c>
      <x:c r="H47" s="11" t="n">
        <x:v>7</x:v>
      </x:c>
      <x:c r="I47" s="11" t="n">
        <x:v>5</x:v>
      </x:c>
      <x:c r="J47" s="11" t="n">
        <x:v>12</x:v>
      </x:c>
      <x:c r="K47" s="16" t="n">
        <x:f>IFERROR(H47/J47,"")</x:f>
        <x:v>0.5833333333333334</x:v>
      </x:c>
      <x:c r="L47" s="11" t="n">
        <x:v>415</x:v>
      </x:c>
      <x:c r="M47" s="11" t="n">
        <x:v>353</x:v>
      </x:c>
      <x:c r="N47" s="11" t="n">
        <x:f>L47-M47</x:f>
        <x:v>62</x:v>
      </x:c>
      <x:c r="O47" s="14" t="n">
        <x:f>IFERROR(L47/J47,"")</x:f>
        <x:v>34.583333333333336</x:v>
      </x:c>
      <x:c r="P47" s="14" t="n">
        <x:f>IFERROR(M47/J47,"")</x:f>
        <x:v>29.416666666666668</x:v>
      </x:c>
      <x:c r="Q47" s="11" t="str">
        <x:v>https://baratelliinstitute.com/college-football-payroll-by-school</x:v>
      </x:c>
      <x:c r="R47" s="11" t="str">
        <x:v>https://theacc.com/news/2025/12/7/2025-acc-football-championship-game-notes.aspx</x:v>
      </x:c>
    </x:row>
    <x:row r="48">
      <x:c r="A48" s="11" t="n">
        <x:v>47</x:v>
      </x:c>
      <x:c r="B48" s="11" t="str">
        <x:v>Kansas State</x:v>
      </x:c>
      <x:c r="C48" s="11" t="str">
        <x:v>Big 12</x:v>
      </x:c>
      <x:c r="D48" s="14" t="n">
        <x:v>14</x:v>
      </x:c>
      <x:c r="E48" s="14" t="n">
        <x:v>19</x:v>
      </x:c>
      <x:c r="F48" s="14" t="n">
        <x:v>16.5</x:v>
      </x:c>
      <x:c r="G48" s="11" t="str">
        <x:v>MID</x:v>
      </x:c>
      <x:c r="H48" s="11" t="n">
        <x:v>6</x:v>
      </x:c>
      <x:c r="I48" s="11" t="n">
        <x:v>6</x:v>
      </x:c>
      <x:c r="J48" s="11" t="n">
        <x:v>12</x:v>
      </x:c>
      <x:c r="K48" s="16" t="n">
        <x:f>IFERROR(H48/J48,"")</x:f>
        <x:v>0.5</x:v>
      </x:c>
      <x:c r="L48" s="11" t="n">
        <x:v>353</x:v>
      </x:c>
      <x:c r="M48" s="11" t="n">
        <x:v>320</x:v>
      </x:c>
      <x:c r="N48" s="11" t="n">
        <x:f>L48-M48</x:f>
        <x:v>33</x:v>
      </x:c>
      <x:c r="O48" s="14" t="n">
        <x:f>IFERROR(L48/J48,"")</x:f>
        <x:v>29.416666666666668</x:v>
      </x:c>
      <x:c r="P48" s="14" t="n">
        <x:f>IFERROR(M48/J48,"")</x:f>
        <x:v>26.666666666666668</x:v>
      </x:c>
      <x:c r="Q48" s="11" t="str">
        <x:v>https://baratelliinstitute.com/college-football-payroll-by-school</x:v>
      </x:c>
      <x:c r="R48" s="11" t="str">
        <x:v>https://draftedge.com/cfb/cfb-team-rankings/</x:v>
      </x:c>
    </x:row>
    <x:row r="49">
      <x:c r="A49" s="11" t="n">
        <x:v>48</x:v>
      </x:c>
      <x:c r="B49" s="11" t="str">
        <x:v>NC State</x:v>
      </x:c>
      <x:c r="C49" s="11" t="str">
        <x:v>ACC</x:v>
      </x:c>
      <x:c r="D49" s="14" t="n">
        <x:v>14</x:v>
      </x:c>
      <x:c r="E49" s="14" t="n">
        <x:v>19</x:v>
      </x:c>
      <x:c r="F49" s="14" t="n">
        <x:v>16.5</x:v>
      </x:c>
      <x:c r="G49" s="11" t="str">
        <x:v>MID</x:v>
      </x:c>
      <x:c r="H49" s="11" t="n">
        <x:v>7</x:v>
      </x:c>
      <x:c r="I49" s="11" t="n">
        <x:v>5</x:v>
      </x:c>
      <x:c r="J49" s="11" t="n">
        <x:v>12</x:v>
      </x:c>
      <x:c r="K49" s="16" t="n">
        <x:f>IFERROR(H49/J49,"")</x:f>
        <x:v>0.5833333333333334</x:v>
      </x:c>
      <x:c r="L49" s="11" t="n">
        <x:v>362</x:v>
      </x:c>
      <x:c r="M49" s="11" t="n">
        <x:v>346</x:v>
      </x:c>
      <x:c r="N49" s="11" t="n">
        <x:f>L49-M49</x:f>
        <x:v>16</x:v>
      </x:c>
      <x:c r="O49" s="14" t="n">
        <x:f>IFERROR(L49/J49,"")</x:f>
        <x:v>30.166666666666668</x:v>
      </x:c>
      <x:c r="P49" s="14" t="n">
        <x:f>IFERROR(M49/J49,"")</x:f>
        <x:v>28.833333333333332</x:v>
      </x:c>
      <x:c r="Q49" s="11" t="str">
        <x:v>https://baratelliinstitute.com/college-football-payroll-by-school</x:v>
      </x:c>
      <x:c r="R49" s="11" t="str">
        <x:v>https://draftedge.com/cfb/cfb-team-rankings/</x:v>
      </x:c>
    </x:row>
    <x:row r="50">
      <x:c r="A50" s="11" t="n">
        <x:v>49</x:v>
      </x:c>
      <x:c r="B50" s="11" t="str">
        <x:v>Oklahoma State</x:v>
      </x:c>
      <x:c r="C50" s="11" t="str">
        <x:v>Big 12</x:v>
      </x:c>
      <x:c r="D50" s="14" t="n">
        <x:v>14</x:v>
      </x:c>
      <x:c r="E50" s="14" t="n">
        <x:v>19</x:v>
      </x:c>
      <x:c r="F50" s="14" t="n">
        <x:v>16.5</x:v>
      </x:c>
      <x:c r="G50" s="11" t="str">
        <x:v>MID</x:v>
      </x:c>
      <x:c r="H50" s="11" t="n">
        <x:v>1</x:v>
      </x:c>
      <x:c r="I50" s="11" t="n">
        <x:v>11</x:v>
      </x:c>
      <x:c r="J50" s="11" t="n">
        <x:v>12</x:v>
      </x:c>
      <x:c r="K50" s="16" t="n">
        <x:f>IFERROR(H50/J50,"")</x:f>
        <x:v>0.08333333333333333</x:v>
      </x:c>
      <x:c r="L50" s="11" t="n">
        <x:v>170</x:v>
      </x:c>
      <x:c r="M50" s="11" t="n">
        <x:v>400</x:v>
      </x:c>
      <x:c r="N50" s="11" t="n">
        <x:f>L50-M50</x:f>
        <x:v>-230</x:v>
      </x:c>
      <x:c r="O50" s="14" t="n">
        <x:f>IFERROR(L50/J50,"")</x:f>
        <x:v>14.166666666666666</x:v>
      </x:c>
      <x:c r="P50" s="14" t="n">
        <x:f>IFERROR(M50/J50,"")</x:f>
        <x:v>33.333333333333336</x:v>
      </x:c>
      <x:c r="Q50" s="11" t="str">
        <x:v>https://baratelliinstitute.com/college-football-payroll-by-school</x:v>
      </x:c>
      <x:c r="R50" s="11" t="str">
        <x:v>https://draftedge.com/cfb/cfb-team-rankings/</x:v>
      </x:c>
    </x:row>
    <x:row r="51">
      <x:c r="A51" s="11" t="n">
        <x:v>50</x:v>
      </x:c>
      <x:c r="B51" s="11" t="str">
        <x:v>TCU</x:v>
      </x:c>
      <x:c r="C51" s="11" t="str">
        <x:v>Big 12</x:v>
      </x:c>
      <x:c r="D51" s="14" t="n">
        <x:v>14</x:v>
      </x:c>
      <x:c r="E51" s="14" t="n">
        <x:v>19</x:v>
      </x:c>
      <x:c r="F51" s="14" t="n">
        <x:v>16.5</x:v>
      </x:c>
      <x:c r="G51" s="11" t="str">
        <x:v>MID</x:v>
      </x:c>
      <x:c r="H51" s="11" t="n">
        <x:v>8</x:v>
      </x:c>
      <x:c r="I51" s="11" t="n">
        <x:v>4</x:v>
      </x:c>
      <x:c r="J51" s="11" t="n">
        <x:v>12</x:v>
      </x:c>
      <x:c r="K51" s="16" t="n">
        <x:f>IFERROR(H51/J51,"")</x:f>
        <x:v>0.6666666666666666</x:v>
      </x:c>
      <x:c r="L51" s="11" t="n">
        <x:v>369</x:v>
      </x:c>
      <x:c r="M51" s="11" t="n">
        <x:v>302</x:v>
      </x:c>
      <x:c r="N51" s="11" t="n">
        <x:f>L51-M51</x:f>
        <x:v>67</x:v>
      </x:c>
      <x:c r="O51" s="14" t="n">
        <x:f>IFERROR(L51/J51,"")</x:f>
        <x:v>30.75</x:v>
      </x:c>
      <x:c r="P51" s="14" t="n">
        <x:f>IFERROR(M51/J51,"")</x:f>
        <x:v>25.166666666666668</x:v>
      </x:c>
      <x:c r="Q51" s="11" t="str">
        <x:v>https://baratelliinstitute.com/college-football-payroll-by-school</x:v>
      </x:c>
      <x:c r="R51" s="11" t="str">
        <x:v>https://draftedge.com/cfb/cfb-team-rankings/</x:v>
      </x:c>
    </x:row>
    <x:row r="52">
      <x:c r="A52" s="11" t="n">
        <x:v>51</x:v>
      </x:c>
      <x:c r="B52" s="11" t="str">
        <x:v>Arizona</x:v>
      </x:c>
      <x:c r="C52" s="11" t="str">
        <x:v>Big 12</x:v>
      </x:c>
      <x:c r="D52" s="14" t="n">
        <x:v>13</x:v>
      </x:c>
      <x:c r="E52" s="14" t="n">
        <x:v>18</x:v>
      </x:c>
      <x:c r="F52" s="14" t="n">
        <x:v>15.5</x:v>
      </x:c>
      <x:c r="G52" s="11" t="str">
        <x:v>MID</x:v>
      </x:c>
      <x:c r="H52" s="11" t="n">
        <x:v>9</x:v>
      </x:c>
      <x:c r="I52" s="11" t="n">
        <x:v>3</x:v>
      </x:c>
      <x:c r="J52" s="11" t="n">
        <x:v>12</x:v>
      </x:c>
      <x:c r="K52" s="16" t="n">
        <x:f>IFERROR(H52/J52,"")</x:f>
        <x:v>0.75</x:v>
      </x:c>
      <x:c r="L52" s="11" t="n">
        <x:v>391</x:v>
      </x:c>
      <x:c r="M52" s="11" t="n">
        <x:v>227</x:v>
      </x:c>
      <x:c r="N52" s="11" t="n">
        <x:f>L52-M52</x:f>
        <x:v>164</x:v>
      </x:c>
      <x:c r="O52" s="14" t="n">
        <x:f>IFERROR(L52/J52,"")</x:f>
        <x:v>32.583333333333336</x:v>
      </x:c>
      <x:c r="P52" s="14" t="n">
        <x:f>IFERROR(M52/J52,"")</x:f>
        <x:v>18.916666666666668</x:v>
      </x:c>
      <x:c r="Q52" s="11" t="str">
        <x:v>https://baratelliinstitute.com/college-football-payroll-by-school</x:v>
      </x:c>
      <x:c r="R52" s="11" t="str">
        <x:v>https://draftedge.com/cfb/cfb-team-rankings/</x:v>
      </x:c>
    </x:row>
    <x:row r="53">
      <x:c r="A53" s="11" t="n">
        <x:v>52</x:v>
      </x:c>
      <x:c r="B53" s="11" t="str">
        <x:v>California</x:v>
      </x:c>
      <x:c r="C53" s="11" t="str">
        <x:v>ACC</x:v>
      </x:c>
      <x:c r="D53" s="14" t="n">
        <x:v>13</x:v>
      </x:c>
      <x:c r="E53" s="14" t="n">
        <x:v>18</x:v>
      </x:c>
      <x:c r="F53" s="14" t="n">
        <x:v>15.5</x:v>
      </x:c>
      <x:c r="G53" s="11" t="str">
        <x:v>MID</x:v>
      </x:c>
      <x:c r="H53" s="11" t="n">
        <x:v>7</x:v>
      </x:c>
      <x:c r="I53" s="11" t="n">
        <x:v>5</x:v>
      </x:c>
      <x:c r="J53" s="11" t="n">
        <x:v>12</x:v>
      </x:c>
      <x:c r="K53" s="16" t="n">
        <x:f>IFERROR(H53/J53,"")</x:f>
        <x:v>0.5833333333333334</x:v>
      </x:c>
      <x:c r="L53" s="11" t="n">
        <x:v>298</x:v>
      </x:c>
      <x:c r="M53" s="11" t="n">
        <x:v>318</x:v>
      </x:c>
      <x:c r="N53" s="11" t="n">
        <x:f>L53-M53</x:f>
        <x:v>-20</x:v>
      </x:c>
      <x:c r="O53" s="14" t="n">
        <x:f>IFERROR(L53/J53,"")</x:f>
        <x:v>24.833333333333332</x:v>
      </x:c>
      <x:c r="P53" s="14" t="n">
        <x:f>IFERROR(M53/J53,"")</x:f>
        <x:v>26.5</x:v>
      </x:c>
      <x:c r="Q53" s="11" t="str">
        <x:v>https://baratelliinstitute.com/college-football-payroll-by-school</x:v>
      </x:c>
      <x:c r="R53" s="11" t="str">
        <x:v>https://calbears.com/sports/football/schedule/text/2025</x:v>
      </x:c>
    </x:row>
    <x:row r="54">
      <x:c r="A54" s="11" t="n">
        <x:v>53</x:v>
      </x:c>
      <x:c r="B54" s="11" t="str">
        <x:v>Georgia Tech</x:v>
      </x:c>
      <x:c r="C54" s="11" t="str">
        <x:v>ACC</x:v>
      </x:c>
      <x:c r="D54" s="14" t="n">
        <x:v>13</x:v>
      </x:c>
      <x:c r="E54" s="14" t="n">
        <x:v>18</x:v>
      </x:c>
      <x:c r="F54" s="14" t="n">
        <x:v>15.5</x:v>
      </x:c>
      <x:c r="G54" s="11" t="str">
        <x:v>MID</x:v>
      </x:c>
      <x:c r="H54" s="11" t="n">
        <x:v>9</x:v>
      </x:c>
      <x:c r="I54" s="11" t="n">
        <x:v>3</x:v>
      </x:c>
      <x:c r="J54" s="11" t="n">
        <x:v>12</x:v>
      </x:c>
      <x:c r="K54" s="16" t="n">
        <x:f>IFERROR(H54/J54,"")</x:f>
        <x:v>0.75</x:v>
      </x:c>
      <x:c r="L54" s="11" t="n">
        <x:v>397</x:v>
      </x:c>
      <x:c r="M54" s="11" t="n">
        <x:v>300</x:v>
      </x:c>
      <x:c r="N54" s="11" t="n">
        <x:f>L54-M54</x:f>
        <x:v>97</x:v>
      </x:c>
      <x:c r="O54" s="14" t="n">
        <x:f>IFERROR(L54/J54,"")</x:f>
        <x:v>33.083333333333336</x:v>
      </x:c>
      <x:c r="P54" s="14" t="n">
        <x:f>IFERROR(M54/J54,"")</x:f>
        <x:v>25</x:v>
      </x:c>
      <x:c r="Q54" s="11" t="str">
        <x:v>https://baratelliinstitute.com/college-football-payroll-by-school</x:v>
      </x:c>
      <x:c r="R54" s="11" t="str">
        <x:v>https://draftedge.com/cfb/cfb-team-rankings/</x:v>
      </x:c>
    </x:row>
    <x:row r="55">
      <x:c r="A55" s="11" t="n">
        <x:v>54</x:v>
      </x:c>
      <x:c r="B55" s="11" t="str">
        <x:v>Iowa State</x:v>
      </x:c>
      <x:c r="C55" s="11" t="str">
        <x:v>Big 12</x:v>
      </x:c>
      <x:c r="D55" s="14" t="n">
        <x:v>13</x:v>
      </x:c>
      <x:c r="E55" s="14" t="n">
        <x:v>18</x:v>
      </x:c>
      <x:c r="F55" s="14" t="n">
        <x:v>15.5</x:v>
      </x:c>
      <x:c r="G55" s="11" t="str">
        <x:v>MID</x:v>
      </x:c>
      <x:c r="H55" s="11" t="n">
        <x:v>8</x:v>
      </x:c>
      <x:c r="I55" s="11" t="n">
        <x:v>4</x:v>
      </x:c>
      <x:c r="J55" s="11" t="n">
        <x:v>12</x:v>
      </x:c>
      <x:c r="K55" s="16" t="n">
        <x:f>IFERROR(H55/J55,"")</x:f>
        <x:v>0.6666666666666666</x:v>
      </x:c>
      <x:c r="L55" s="11" t="n">
        <x:v>329</x:v>
      </x:c>
      <x:c r="M55" s="11" t="n">
        <x:v>242</x:v>
      </x:c>
      <x:c r="N55" s="11" t="n">
        <x:f>L55-M55</x:f>
        <x:v>87</x:v>
      </x:c>
      <x:c r="O55" s="14" t="n">
        <x:f>IFERROR(L55/J55,"")</x:f>
        <x:v>27.416666666666668</x:v>
      </x:c>
      <x:c r="P55" s="14" t="n">
        <x:f>IFERROR(M55/J55,"")</x:f>
        <x:v>20.166666666666668</x:v>
      </x:c>
      <x:c r="Q55" s="11" t="str">
        <x:v>https://baratelliinstitute.com/college-football-payroll-by-school</x:v>
      </x:c>
      <x:c r="R55" s="11" t="str">
        <x:v>https://draftedge.com/cfb/cfb-team-rankings/</x:v>
      </x:c>
    </x:row>
    <x:row r="56">
      <x:c r="A56" s="11" t="n">
        <x:v>55</x:v>
      </x:c>
      <x:c r="B56" s="11" t="str">
        <x:v>Pittsburgh</x:v>
      </x:c>
      <x:c r="C56" s="11" t="str">
        <x:v>ACC</x:v>
      </x:c>
      <x:c r="D56" s="14" t="n">
        <x:v>13</x:v>
      </x:c>
      <x:c r="E56" s="14" t="n">
        <x:v>18</x:v>
      </x:c>
      <x:c r="F56" s="14" t="n">
        <x:v>15.5</x:v>
      </x:c>
      <x:c r="G56" s="11" t="str">
        <x:v>MID</x:v>
      </x:c>
      <x:c r="H56" s="11" t="n">
        <x:v>8</x:v>
      </x:c>
      <x:c r="I56" s="11" t="n">
        <x:v>4</x:v>
      </x:c>
      <x:c r="J56" s="11" t="n">
        <x:v>12</x:v>
      </x:c>
      <x:c r="K56" s="16" t="n">
        <x:f>IFERROR(H56/J56,"")</x:f>
        <x:v>0.6666666666666666</x:v>
      </x:c>
      <x:c r="L56" s="11" t="n">
        <x:v>421</x:v>
      </x:c>
      <x:c r="M56" s="11" t="n">
        <x:v>299</x:v>
      </x:c>
      <x:c r="N56" s="11" t="n">
        <x:f>L56-M56</x:f>
        <x:v>122</x:v>
      </x:c>
      <x:c r="O56" s="14" t="n">
        <x:f>IFERROR(L56/J56,"")</x:f>
        <x:v>35.083333333333336</x:v>
      </x:c>
      <x:c r="P56" s="14" t="n">
        <x:f>IFERROR(M56/J56,"")</x:f>
        <x:v>24.916666666666668</x:v>
      </x:c>
      <x:c r="Q56" s="11" t="str">
        <x:v>https://baratelliinstitute.com/college-football-payroll-by-school</x:v>
      </x:c>
      <x:c r="R56" s="11" t="str">
        <x:v>https://draftedge.com/cfb/cfb-team-rankings/</x:v>
      </x:c>
    </x:row>
    <x:row r="57">
      <x:c r="A57" s="11" t="n">
        <x:v>56</x:v>
      </x:c>
      <x:c r="B57" s="11" t="str">
        <x:v>SMU</x:v>
      </x:c>
      <x:c r="C57" s="11" t="str">
        <x:v>ACC</x:v>
      </x:c>
      <x:c r="D57" s="14" t="n">
        <x:v>13</x:v>
      </x:c>
      <x:c r="E57" s="14" t="n">
        <x:v>18</x:v>
      </x:c>
      <x:c r="F57" s="14" t="n">
        <x:v>15.5</x:v>
      </x:c>
      <x:c r="G57" s="11" t="str">
        <x:v>MID</x:v>
      </x:c>
      <x:c r="H57" s="11" t="n">
        <x:v>8</x:v>
      </x:c>
      <x:c r="I57" s="11" t="n">
        <x:v>4</x:v>
      </x:c>
      <x:c r="J57" s="11" t="n">
        <x:v>12</x:v>
      </x:c>
      <x:c r="K57" s="16" t="n">
        <x:f>IFERROR(H57/J57,"")</x:f>
        <x:v>0.6666666666666666</x:v>
      </x:c>
      <x:c r="L57" s="11" t="n">
        <x:v>395</x:v>
      </x:c>
      <x:c r="M57" s="11" t="n">
        <x:v>248</x:v>
      </x:c>
      <x:c r="N57" s="11" t="n">
        <x:f>L57-M57</x:f>
        <x:v>147</x:v>
      </x:c>
      <x:c r="O57" s="14" t="n">
        <x:f>IFERROR(L57/J57,"")</x:f>
        <x:v>32.916666666666664</x:v>
      </x:c>
      <x:c r="P57" s="14" t="n">
        <x:f>IFERROR(M57/J57,"")</x:f>
        <x:v>20.666666666666668</x:v>
      </x:c>
      <x:c r="Q57" s="11" t="str">
        <x:v>https://baratelliinstitute.com/college-football-payroll-by-school</x:v>
      </x:c>
      <x:c r="R57" s="11" t="str">
        <x:v>https://draftedge.com/cfb/cfb-team-rankings/</x:v>
      </x:c>
    </x:row>
    <x:row r="58">
      <x:c r="A58" s="11" t="n">
        <x:v>57</x:v>
      </x:c>
      <x:c r="B58" s="11" t="str">
        <x:v>Stanford</x:v>
      </x:c>
      <x:c r="C58" s="11" t="str">
        <x:v>ACC</x:v>
      </x:c>
      <x:c r="D58" s="14" t="n">
        <x:v>13</x:v>
      </x:c>
      <x:c r="E58" s="14" t="n">
        <x:v>18</x:v>
      </x:c>
      <x:c r="F58" s="14" t="n">
        <x:v>15.5</x:v>
      </x:c>
      <x:c r="G58" s="11" t="str">
        <x:v>MID</x:v>
      </x:c>
      <x:c r="H58" s="11" t="n">
        <x:v>4</x:v>
      </x:c>
      <x:c r="I58" s="11" t="n">
        <x:v>8</x:v>
      </x:c>
      <x:c r="J58" s="11" t="n">
        <x:v>12</x:v>
      </x:c>
      <x:c r="K58" s="16" t="n">
        <x:f>IFERROR(H58/J58,"")</x:f>
        <x:v>0.3333333333333333</x:v>
      </x:c>
      <x:c r="L58" s="11" t="n">
        <x:v>226</x:v>
      </x:c>
      <x:c r="M58" s="11" t="n">
        <x:v>350</x:v>
      </x:c>
      <x:c r="N58" s="11" t="n">
        <x:f>L58-M58</x:f>
        <x:v>-124</x:v>
      </x:c>
      <x:c r="O58" s="14" t="n">
        <x:f>IFERROR(L58/J58,"")</x:f>
        <x:v>18.833333333333332</x:v>
      </x:c>
      <x:c r="P58" s="14" t="n">
        <x:f>IFERROR(M58/J58,"")</x:f>
        <x:v>29.166666666666668</x:v>
      </x:c>
      <x:c r="Q58" s="11" t="str">
        <x:v>https://baratelliinstitute.com/college-football-payroll-by-school</x:v>
      </x:c>
      <x:c r="R58" s="11" t="str">
        <x:v>https://draftedge.com/cfb/cfb-team-rankings/</x:v>
      </x:c>
    </x:row>
    <x:row r="59">
      <x:c r="A59" s="11" t="n">
        <x:v>58</x:v>
      </x:c>
      <x:c r="B59" s="11" t="str">
        <x:v>Syracuse</x:v>
      </x:c>
      <x:c r="C59" s="11" t="str">
        <x:v>ACC</x:v>
      </x:c>
      <x:c r="D59" s="14" t="n">
        <x:v>13</x:v>
      </x:c>
      <x:c r="E59" s="14" t="n">
        <x:v>18</x:v>
      </x:c>
      <x:c r="F59" s="14" t="n">
        <x:v>15.5</x:v>
      </x:c>
      <x:c r="G59" s="11" t="str">
        <x:v>MID</x:v>
      </x:c>
      <x:c r="H59" s="11" t="n">
        <x:v>3</x:v>
      </x:c>
      <x:c r="I59" s="11" t="n">
        <x:v>9</x:v>
      </x:c>
      <x:c r="J59" s="11" t="n">
        <x:v>12</x:v>
      </x:c>
      <x:c r="K59" s="16" t="n">
        <x:f>IFERROR(H59/J59,"")</x:f>
        <x:v>0.25</x:v>
      </x:c>
      <x:c r="L59" s="11" t="n">
        <x:v>242</x:v>
      </x:c>
      <x:c r="M59" s="11" t="n">
        <x:v>419</x:v>
      </x:c>
      <x:c r="N59" s="11" t="n">
        <x:f>L59-M59</x:f>
        <x:v>-177</x:v>
      </x:c>
      <x:c r="O59" s="14" t="n">
        <x:f>IFERROR(L59/J59,"")</x:f>
        <x:v>20.166666666666668</x:v>
      </x:c>
      <x:c r="P59" s="14" t="n">
        <x:f>IFERROR(M59/J59,"")</x:f>
        <x:v>34.916666666666664</x:v>
      </x:c>
      <x:c r="Q59" s="11" t="str">
        <x:v>https://baratelliinstitute.com/college-football-payroll-by-school</x:v>
      </x:c>
      <x:c r="R59" s="11" t="str">
        <x:v>https://draftedge.com/cfb/cfb-team-rankings/</x:v>
      </x:c>
    </x:row>
    <x:row r="60">
      <x:c r="A60" s="11" t="n">
        <x:v>59</x:v>
      </x:c>
      <x:c r="B60" s="11" t="str">
        <x:v>Virginia</x:v>
      </x:c>
      <x:c r="C60" s="11" t="str">
        <x:v>ACC</x:v>
      </x:c>
      <x:c r="D60" s="14" t="n">
        <x:v>13</x:v>
      </x:c>
      <x:c r="E60" s="14" t="n">
        <x:v>18</x:v>
      </x:c>
      <x:c r="F60" s="14" t="n">
        <x:v>15.5</x:v>
      </x:c>
      <x:c r="G60" s="11" t="str">
        <x:v>MID</x:v>
      </x:c>
      <x:c r="H60" s="11" t="n">
        <x:v>10</x:v>
      </x:c>
      <x:c r="I60" s="11" t="n">
        <x:v>2</x:v>
      </x:c>
      <x:c r="J60" s="11" t="n">
        <x:v>12</x:v>
      </x:c>
      <x:c r="K60" s="16" t="n">
        <x:f>IFERROR(H60/J60,"")</x:f>
        <x:v>0.8333333333333334</x:v>
      </x:c>
      <x:c r="L60" s="11" t="n">
        <x:v>398</x:v>
      </x:c>
      <x:c r="M60" s="11" t="n">
        <x:v>240</x:v>
      </x:c>
      <x:c r="N60" s="11" t="n">
        <x:f>L60-M60</x:f>
        <x:v>158</x:v>
      </x:c>
      <x:c r="O60" s="14" t="n">
        <x:f>IFERROR(L60/J60,"")</x:f>
        <x:v>33.166666666666664</x:v>
      </x:c>
      <x:c r="P60" s="14" t="n">
        <x:f>IFERROR(M60/J60,"")</x:f>
        <x:v>20</x:v>
      </x:c>
      <x:c r="Q60" s="11" t="str">
        <x:v>https://baratelliinstitute.com/college-football-payroll-by-school</x:v>
      </x:c>
      <x:c r="R60" s="11" t="str">
        <x:v>https://theacc.com/news/2025/12/7/2025-acc-football-championship-game-notes.aspx</x:v>
      </x:c>
    </x:row>
    <x:row r="61">
      <x:c r="A61" s="11" t="n">
        <x:v>60</x:v>
      </x:c>
      <x:c r="B61" s="11" t="str">
        <x:v>West Virginia</x:v>
      </x:c>
      <x:c r="C61" s="11" t="str">
        <x:v>Big 12</x:v>
      </x:c>
      <x:c r="D61" s="14" t="n">
        <x:v>13</x:v>
      </x:c>
      <x:c r="E61" s="14" t="n">
        <x:v>18</x:v>
      </x:c>
      <x:c r="F61" s="14" t="n">
        <x:v>15.5</x:v>
      </x:c>
      <x:c r="G61" s="11" t="str">
        <x:v>MID</x:v>
      </x:c>
      <x:c r="H61" s="11" t="n">
        <x:v>4</x:v>
      </x:c>
      <x:c r="I61" s="11" t="n">
        <x:v>8</x:v>
      </x:c>
      <x:c r="J61" s="11" t="n">
        <x:v>12</x:v>
      </x:c>
      <x:c r="K61" s="16" t="n">
        <x:f>IFERROR(H61/J61,"")</x:f>
        <x:v>0.3333333333333333</x:v>
      </x:c>
      <x:c r="L61" s="11" t="n">
        <x:v>261</x:v>
      </x:c>
      <x:c r="M61" s="11" t="n">
        <x:v>370</x:v>
      </x:c>
      <x:c r="N61" s="11" t="n">
        <x:f>L61-M61</x:f>
        <x:v>-109</x:v>
      </x:c>
      <x:c r="O61" s="14" t="n">
        <x:f>IFERROR(L61/J61,"")</x:f>
        <x:v>21.75</x:v>
      </x:c>
      <x:c r="P61" s="14" t="n">
        <x:f>IFERROR(M61/J61,"")</x:f>
        <x:v>30.833333333333332</x:v>
      </x:c>
      <x:c r="Q61" s="11" t="str">
        <x:v>https://baratelliinstitute.com/college-football-payroll-by-school</x:v>
      </x:c>
      <x:c r="R61" s="11" t="str">
        <x:v>https://draftedge.com/cfb/cfb-team-rankings/</x:v>
      </x:c>
    </x:row>
    <x:row r="62">
      <x:c r="A62" s="11" t="n">
        <x:v>61</x:v>
      </x:c>
      <x:c r="B62" s="11" t="str">
        <x:v>Cincinnati</x:v>
      </x:c>
      <x:c r="C62" s="11" t="str">
        <x:v>Big 12</x:v>
      </x:c>
      <x:c r="D62" s="14" t="n">
        <x:v>12</x:v>
      </x:c>
      <x:c r="E62" s="14" t="n">
        <x:v>17</x:v>
      </x:c>
      <x:c r="F62" s="14" t="n">
        <x:v>14.5</x:v>
      </x:c>
      <x:c r="G62" s="11" t="str">
        <x:v>BOTTOM</x:v>
      </x:c>
      <x:c r="H62" s="11" t="n">
        <x:v>7</x:v>
      </x:c>
      <x:c r="I62" s="11" t="n">
        <x:v>5</x:v>
      </x:c>
      <x:c r="J62" s="11" t="n">
        <x:v>12</x:v>
      </x:c>
      <x:c r="K62" s="16" t="n">
        <x:f>IFERROR(H62/J62,"")</x:f>
        <x:v>0.5833333333333334</x:v>
      </x:c>
      <x:c r="L62" s="11" t="n">
        <x:v>381</x:v>
      </x:c>
      <x:c r="M62" s="11" t="n">
        <x:v>298</x:v>
      </x:c>
      <x:c r="N62" s="11" t="n">
        <x:f>L62-M62</x:f>
        <x:v>83</x:v>
      </x:c>
      <x:c r="O62" s="14" t="n">
        <x:f>IFERROR(L62/J62,"")</x:f>
        <x:v>31.75</x:v>
      </x:c>
      <x:c r="P62" s="14" t="n">
        <x:f>IFERROR(M62/J62,"")</x:f>
        <x:v>24.833333333333332</x:v>
      </x:c>
      <x:c r="Q62" s="11" t="str">
        <x:v>https://baratelliinstitute.com/college-football-payroll-by-school</x:v>
      </x:c>
      <x:c r="R62" s="11" t="str">
        <x:v>https://draftedge.com/cfb/cfb-team-rankings/</x:v>
      </x:c>
    </x:row>
    <x:row r="63">
      <x:c r="A63" s="11" t="n">
        <x:v>62</x:v>
      </x:c>
      <x:c r="B63" s="11" t="str">
        <x:v>Colorado</x:v>
      </x:c>
      <x:c r="C63" s="11" t="str">
        <x:v>Big 12</x:v>
      </x:c>
      <x:c r="D63" s="14" t="n">
        <x:v>12</x:v>
      </x:c>
      <x:c r="E63" s="14" t="n">
        <x:v>17</x:v>
      </x:c>
      <x:c r="F63" s="14" t="n">
        <x:v>14.5</x:v>
      </x:c>
      <x:c r="G63" s="11" t="str">
        <x:v>BOTTOM</x:v>
      </x:c>
      <x:c r="H63" s="11" t="n">
        <x:v>3</x:v>
      </x:c>
      <x:c r="I63" s="11" t="n">
        <x:v>9</x:v>
      </x:c>
      <x:c r="J63" s="11" t="n">
        <x:v>12</x:v>
      </x:c>
      <x:c r="K63" s="16" t="n">
        <x:f>IFERROR(H63/J63,"")</x:f>
        <x:v>0.25</x:v>
      </x:c>
      <x:c r="L63" s="11" t="n">
        <x:v>251</x:v>
      </x:c>
      <x:c r="M63" s="11" t="n">
        <x:v>366</x:v>
      </x:c>
      <x:c r="N63" s="11" t="n">
        <x:f>L63-M63</x:f>
        <x:v>-115</x:v>
      </x:c>
      <x:c r="O63" s="14" t="n">
        <x:f>IFERROR(L63/J63,"")</x:f>
        <x:v>20.916666666666668</x:v>
      </x:c>
      <x:c r="P63" s="14" t="n">
        <x:f>IFERROR(M63/J63,"")</x:f>
        <x:v>30.5</x:v>
      </x:c>
      <x:c r="Q63" s="11" t="str">
        <x:v>https://baratelliinstitute.com/college-football-payroll-by-school</x:v>
      </x:c>
      <x:c r="R63" s="11" t="str">
        <x:v>https://draftedge.com/cfb/cfb-team-rankings/</x:v>
      </x:c>
    </x:row>
    <x:row r="64">
      <x:c r="A64" s="11" t="n">
        <x:v>63</x:v>
      </x:c>
      <x:c r="B64" s="11" t="str">
        <x:v>Houston</x:v>
      </x:c>
      <x:c r="C64" s="11" t="str">
        <x:v>Big 12</x:v>
      </x:c>
      <x:c r="D64" s="14" t="n">
        <x:v>12</x:v>
      </x:c>
      <x:c r="E64" s="14" t="n">
        <x:v>17</x:v>
      </x:c>
      <x:c r="F64" s="14" t="n">
        <x:v>14.5</x:v>
      </x:c>
      <x:c r="G64" s="11" t="str">
        <x:v>BOTTOM</x:v>
      </x:c>
      <x:c r="H64" s="11" t="n">
        <x:v>9</x:v>
      </x:c>
      <x:c r="I64" s="11" t="n">
        <x:v>3</x:v>
      </x:c>
      <x:c r="J64" s="11" t="n">
        <x:v>12</x:v>
      </x:c>
      <x:c r="K64" s="16" t="n">
        <x:f>IFERROR(H64/J64,"")</x:f>
        <x:v>0.75</x:v>
      </x:c>
      <x:c r="L64" s="11" t="n">
        <x:v>340</x:v>
      </x:c>
      <x:c r="M64" s="11" t="n">
        <x:v>262</x:v>
      </x:c>
      <x:c r="N64" s="11" t="n">
        <x:f>L64-M64</x:f>
        <x:v>78</x:v>
      </x:c>
      <x:c r="O64" s="14" t="n">
        <x:f>IFERROR(L64/J64,"")</x:f>
        <x:v>28.333333333333332</x:v>
      </x:c>
      <x:c r="P64" s="14" t="n">
        <x:f>IFERROR(M64/J64,"")</x:f>
        <x:v>21.833333333333332</x:v>
      </x:c>
      <x:c r="Q64" s="11" t="str">
        <x:v>https://baratelliinstitute.com/college-football-payroll-by-school</x:v>
      </x:c>
      <x:c r="R64" s="11" t="str">
        <x:v>https://draftedge.com/cfb/cfb-team-rankings/</x:v>
      </x:c>
    </x:row>
    <x:row r="65">
      <x:c r="A65" s="11" t="n">
        <x:v>64</x:v>
      </x:c>
      <x:c r="B65" s="11" t="str">
        <x:v>UCF</x:v>
      </x:c>
      <x:c r="C65" s="11" t="str">
        <x:v>Big 12</x:v>
      </x:c>
      <x:c r="D65" s="14" t="n">
        <x:v>12</x:v>
      </x:c>
      <x:c r="E65" s="14" t="n">
        <x:v>17</x:v>
      </x:c>
      <x:c r="F65" s="14" t="n">
        <x:v>14.5</x:v>
      </x:c>
      <x:c r="G65" s="11" t="str">
        <x:v>BOTTOM</x:v>
      </x:c>
      <x:c r="H65" s="11" t="n">
        <x:v>5</x:v>
      </x:c>
      <x:c r="I65" s="11" t="n">
        <x:v>7</x:v>
      </x:c>
      <x:c r="J65" s="11" t="n">
        <x:v>12</x:v>
      </x:c>
      <x:c r="K65" s="16" t="n">
        <x:f>IFERROR(H65/J65,"")</x:f>
        <x:v>0.4166666666666667</x:v>
      </x:c>
      <x:c r="L65" s="11" t="n">
        <x:v>292</x:v>
      </x:c>
      <x:c r="M65" s="11" t="n">
        <x:v>283</x:v>
      </x:c>
      <x:c r="N65" s="11" t="n">
        <x:f>L65-M65</x:f>
        <x:v>9</x:v>
      </x:c>
      <x:c r="O65" s="14" t="n">
        <x:f>IFERROR(L65/J65,"")</x:f>
        <x:v>24.333333333333332</x:v>
      </x:c>
      <x:c r="P65" s="14" t="n">
        <x:f>IFERROR(M65/J65,"")</x:f>
        <x:v>23.583333333333332</x:v>
      </x:c>
      <x:c r="Q65" s="11" t="str">
        <x:v>https://baratelliinstitute.com/college-football-payroll-by-school</x:v>
      </x:c>
      <x:c r="R65" s="11" t="str">
        <x:v>https://draftedge.com/cfb/cfb-team-rankings/</x:v>
      </x:c>
    </x:row>
    <x:row r="66">
      <x:c r="A66" s="11" t="n">
        <x:v>65</x:v>
      </x:c>
      <x:c r="B66" s="11" t="str">
        <x:v>Vanderbilt</x:v>
      </x:c>
      <x:c r="C66" s="11" t="str">
        <x:v>SEC</x:v>
      </x:c>
      <x:c r="D66" s="14" t="n">
        <x:v>12</x:v>
      </x:c>
      <x:c r="E66" s="14" t="n">
        <x:v>17</x:v>
      </x:c>
      <x:c r="F66" s="14" t="n">
        <x:v>14.5</x:v>
      </x:c>
      <x:c r="G66" s="11" t="str">
        <x:v>BOTTOM</x:v>
      </x:c>
      <x:c r="H66" s="11" t="n">
        <x:v>10</x:v>
      </x:c>
      <x:c r="I66" s="11" t="n">
        <x:v>2</x:v>
      </x:c>
      <x:c r="J66" s="11" t="n">
        <x:v>12</x:v>
      </x:c>
      <x:c r="K66" s="16" t="n">
        <x:f>IFERROR(H66/J66,"")</x:f>
        <x:v>0.8333333333333334</x:v>
      </x:c>
      <x:c r="L66" s="11" t="n">
        <x:v>473</x:v>
      </x:c>
      <x:c r="M66" s="11" t="n">
        <x:v>263</x:v>
      </x:c>
      <x:c r="N66" s="11" t="n">
        <x:f>L66-M66</x:f>
        <x:v>210</x:v>
      </x:c>
      <x:c r="O66" s="14" t="n">
        <x:f>IFERROR(L66/J66,"")</x:f>
        <x:v>39.416666666666664</x:v>
      </x:c>
      <x:c r="P66" s="14" t="n">
        <x:f>IFERROR(M66/J66,"")</x:f>
        <x:v>21.916666666666668</x:v>
      </x:c>
      <x:c r="Q66" s="11" t="str">
        <x:v>https://baratelliinstitute.com/college-football-payroll-by-school</x:v>
      </x:c>
      <x:c r="R66" s="11" t="str">
        <x:v>https://draftedge.com/cfb/cfb-team-rankings/</x:v>
      </x:c>
    </x:row>
    <x:row r="67">
      <x:c r="A67" s="11" t="n">
        <x:v>66</x:v>
      </x:c>
      <x:c r="B67" s="11" t="str">
        <x:v>Kansas</x:v>
      </x:c>
      <x:c r="C67" s="11" t="str">
        <x:v>Big 12</x:v>
      </x:c>
      <x:c r="D67" s="14" t="n">
        <x:v>11</x:v>
      </x:c>
      <x:c r="E67" s="14" t="n">
        <x:v>16</x:v>
      </x:c>
      <x:c r="F67" s="14" t="n">
        <x:v>13.5</x:v>
      </x:c>
      <x:c r="G67" s="11" t="str">
        <x:v>BOTTOM</x:v>
      </x:c>
      <x:c r="H67" s="11" t="n">
        <x:v>5</x:v>
      </x:c>
      <x:c r="I67" s="11" t="n">
        <x:v>7</x:v>
      </x:c>
      <x:c r="J67" s="11" t="n">
        <x:v>12</x:v>
      </x:c>
      <x:c r="K67" s="16" t="n">
        <x:f>IFERROR(H67/J67,"")</x:f>
        <x:v>0.4166666666666667</x:v>
      </x:c>
      <x:c r="L67" s="11" t="n">
        <x:v>337</x:v>
      </x:c>
      <x:c r="M67" s="11" t="n">
        <x:v>321</x:v>
      </x:c>
      <x:c r="N67" s="11" t="n">
        <x:f>L67-M67</x:f>
        <x:v>16</x:v>
      </x:c>
      <x:c r="O67" s="14" t="n">
        <x:f>IFERROR(L67/J67,"")</x:f>
        <x:v>28.083333333333332</x:v>
      </x:c>
      <x:c r="P67" s="14" t="n">
        <x:f>IFERROR(M67/J67,"")</x:f>
        <x:v>26.75</x:v>
      </x:c>
      <x:c r="Q67" s="11" t="str">
        <x:v>https://baratelliinstitute.com/college-football-payroll-by-school</x:v>
      </x:c>
      <x:c r="R67" s="11" t="str">
        <x:v>https://draftedge.com/cfb/cfb-team-rankings/</x:v>
      </x:c>
    </x:row>
    <x:row r="68">
      <x:c r="A68" s="11" t="n">
        <x:v>67</x:v>
      </x:c>
      <x:c r="B68" s="11" t="str">
        <x:v>Boston College</x:v>
      </x:c>
      <x:c r="C68" s="11" t="str">
        <x:v>ACC</x:v>
      </x:c>
      <x:c r="D68" s="14" t="n">
        <x:v>10</x:v>
      </x:c>
      <x:c r="E68" s="14" t="n">
        <x:v>15</x:v>
      </x:c>
      <x:c r="F68" s="14" t="n">
        <x:v>12.5</x:v>
      </x:c>
      <x:c r="G68" s="11" t="str">
        <x:v>BOTTOM</x:v>
      </x:c>
      <x:c r="H68" s="11" t="n">
        <x:v>2</x:v>
      </x:c>
      <x:c r="I68" s="11" t="n">
        <x:v>10</x:v>
      </x:c>
      <x:c r="J68" s="11" t="n">
        <x:v>12</x:v>
      </x:c>
      <x:c r="K68" s="16" t="n">
        <x:f>IFERROR(H68/J68,"")</x:f>
        <x:v>0.16666666666666666</x:v>
      </x:c>
      <x:c r="L68" s="11" t="n">
        <x:v>305</x:v>
      </x:c>
      <x:c r="M68" s="11" t="n">
        <x:v>393</x:v>
      </x:c>
      <x:c r="N68" s="11" t="n">
        <x:f>L68-M68</x:f>
        <x:v>-88</x:v>
      </x:c>
      <x:c r="O68" s="14" t="n">
        <x:f>IFERROR(L68/J68,"")</x:f>
        <x:v>25.416666666666668</x:v>
      </x:c>
      <x:c r="P68" s="14" t="n">
        <x:f>IFERROR(M68/J68,"")</x:f>
        <x:v>32.75</x:v>
      </x:c>
      <x:c r="Q68" s="11" t="str">
        <x:v>https://baratelliinstitute.com/college-football-payroll-by-school</x:v>
      </x:c>
      <x:c r="R68" s="11" t="str">
        <x:v>https://draftedge.com/cfb/cfb-team-rankings/</x:v>
      </x:c>
    </x:row>
    <x:row r="69">
      <x:c r="A69" s="11" t="n">
        <x:v>68</x:v>
      </x:c>
      <x:c r="B69" s="11" t="str">
        <x:v>Wake Forest</x:v>
      </x:c>
      <x:c r="C69" s="11" t="str">
        <x:v>ACC</x:v>
      </x:c>
      <x:c r="D69" s="14" t="n">
        <x:v>10</x:v>
      </x:c>
      <x:c r="E69" s="14" t="n">
        <x:v>15</x:v>
      </x:c>
      <x:c r="F69" s="14" t="n">
        <x:v>12.5</x:v>
      </x:c>
      <x:c r="G69" s="11" t="str">
        <x:v>BOTTOM</x:v>
      </x:c>
      <x:c r="H69" s="11" t="n">
        <x:v>8</x:v>
      </x:c>
      <x:c r="I69" s="11" t="n">
        <x:v>4</x:v>
      </x:c>
      <x:c r="J69" s="11" t="n">
        <x:v>12</x:v>
      </x:c>
      <x:c r="K69" s="16" t="n">
        <x:f>IFERROR(H69/J69,"")</x:f>
        <x:v>0.6666666666666666</x:v>
      </x:c>
      <x:c r="L69" s="11" t="n">
        <x:v>322</x:v>
      </x:c>
      <x:c r="M69" s="11" t="n">
        <x:v>258</x:v>
      </x:c>
      <x:c r="N69" s="11" t="n">
        <x:f>L69-M69</x:f>
        <x:v>64</x:v>
      </x:c>
      <x:c r="O69" s="14" t="n">
        <x:f>IFERROR(L69/J69,"")</x:f>
        <x:v>26.833333333333332</x:v>
      </x:c>
      <x:c r="P69" s="14" t="n">
        <x:f>IFERROR(M69/J69,"")</x:f>
        <x:v>21.5</x:v>
      </x:c>
      <x:c r="Q69" s="11" t="str">
        <x:v>https://baratelliinstitute.com/college-football-payroll-by-school</x:v>
      </x:c>
      <x:c r="R69" s="11" t="str">
        <x:v>https://draftedge.com/cfb/cfb-team-rankings/</x:v>
      </x:c>
    </x:row>
  </x:sheetData>
  <x:conditionalFormatting sqref="K2:K6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69">
    <x:cfRule type="colorScale" priority="2">
      <x:colorScale>
        <x:cfvo type="min"/>
        <x:cfvo type="percentile" val="50"/>
        <x:cfvo type="max"/>
        <x:color rgb="FFFEE2E2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836150506047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8" t="str">
        <x:v>Item</x:v>
      </x:c>
      <x:c r="B1" s="18" t="str">
        <x:v>Details</x:v>
      </x:c>
    </x:row>
    <x:row r="2">
      <x:c r="A2" s="11" t="str">
        <x:v>Project title</x:v>
      </x:c>
      <x:c r="B2" s="11" t="str">
        <x:v>Does College Football Roster Spending Predict Winning? Evidence from the 2025 Season</x:v>
      </x:c>
    </x:row>
    <x:row r="3">
      <x:c r="A3" s="11" t="str">
        <x:v>Payroll variable</x:v>
      </x:c>
      <x:c r="B3" s="11" t="str">
        <x:v>Estimated 2025-26 football payroll midpoint from Baratelli Institute (table verified against its Aug. 22, 2026 reference). Includes NIL collective spending plus football revenue-sharing allocation. Midpoints are comparison devices, not disclosed payrolls.</x:v>
      </x:c>
    </x:row>
    <x:row r="4">
      <x:c r="A4" s="11" t="str">
        <x:v>Performance period</x:v>
      </x:c>
      <x:c r="B4" s="11" t="str">
        <x:v>2025 scheduled regular season only: 12 games per team. Conference championship games, bowls, and College Football Playoff games are excluded from wins/losses and scoring totals.</x:v>
      </x:c>
    </x:row>
    <x:row r="5">
      <x:c r="A5" s="11" t="str">
        <x:v>Why regular season</x:v>
      </x:c>
      <x:c r="B5" s="11" t="str">
        <x:v>Keeps the outcome window consistent across teams and avoids selectively adding conference championship, bowl, or playoff games only for teams that qualified.</x:v>
      </x:c>
    </x:row>
    <x:row r="6">
      <x:c r="A6" s="11" t="str">
        <x:v>Main dependent variable</x:v>
      </x:c>
      <x:c r="B6" s="11" t="str">
        <x:v>win_pct = wins / games</x:v>
      </x:c>
    </x:row>
    <x:row r="7">
      <x:c r="A7" s="11" t="str">
        <x:v>Alternative outcome</x:v>
      </x:c>
      <x:c r="B7" s="11" t="str">
        <x:v>point_diff = points_for - points_against</x:v>
      </x:c>
    </x:row>
    <x:row r="8">
      <x:c r="A8" s="11" t="str">
        <x:v>Payroll source</x:v>
      </x:c>
      <x:c r="B8" s="11" t="str">
        <x:v>https://baratelliinstitute.com/college-football-payroll-by-school</x:v>
      </x:c>
    </x:row>
    <x:row r="9">
      <x:c r="A9" s="11" t="str">
        <x:v>Performance source</x:v>
      </x:c>
      <x:c r="B9" s="11" t="str">
        <x:v>Base performance table: https://draftedge.com/cfb/cfb-team-rankings/ ; audited against official team/conference schedules where DraftEdge omitted a game or included a conference championship. See Audit sheet.</x:v>
      </x:c>
    </x:row>
    <x:row r="10">
      <x:c r="A10" s="11" t="str">
        <x:v>Important limitation</x:v>
      </x:c>
      <x:c r="B10" s="11" t="str">
        <x:v>Payroll figures are estimates, not audited school disclosures. Baratelli says the 2025-26 ranges combine estimated NIL collective spending with football revenue-sharing allocations; use payroll_low_m and payroll_high_m for sensitivity checks.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5" hidden="0" customWidth="1"/>
    <x:col min="10" max="10" width="55" hidden="0" customWidth="1"/>
    <x:col min="12" max="12" width="30" hidden="0" customWidth="1"/>
    <x:col min="13" max="13" width="14" hidden="0" customWidth="1"/>
  </x:cols>
  <x:sheetData>
    <x:row r="1">
      <x:c r="A1" s="24" t="str">
        <x:v>team</x:v>
      </x:c>
      <x:c r="B1" s="24" t="str">
        <x:v>issue_type</x:v>
      </x:c>
      <x:c r="C1" s="24" t="str">
        <x:v>original_record</x:v>
      </x:c>
      <x:c r="D1" s="24" t="str">
        <x:v>corrected_record</x:v>
      </x:c>
      <x:c r="E1" s="24" t="str">
        <x:v>original_PF</x:v>
      </x:c>
      <x:c r="F1" s="24" t="str">
        <x:v>corrected_PF</x:v>
      </x:c>
      <x:c r="G1" s="24" t="str">
        <x:v>original_PA</x:v>
      </x:c>
      <x:c r="H1" s="24" t="str">
        <x:v>corrected_PA</x:v>
      </x:c>
      <x:c r="I1" s="24" t="str">
        <x:v>correction</x:v>
      </x:c>
      <x:c r="J1" s="24" t="str">
        <x:v>verification_source</x:v>
      </x:c>
      <x:c r="L1" s="25" t="str">
        <x:v>Audit summary</x:v>
      </x:c>
      <x:c r="M1" s="25" t="str">
        <x:v>Result</x:v>
      </x:c>
    </x:row>
    <x:row r="2">
      <x:c r="A2" s="11" t="str">
        <x:v>Ohio State</x:v>
      </x:c>
      <x:c r="B2" s="11" t="str">
        <x:v>Conference championship included</x:v>
      </x:c>
      <x:c r="C2" s="11" t="str">
        <x:v>12-1</x:v>
      </x:c>
      <x:c r="D2" s="11" t="str">
        <x:v>12-0</x:v>
      </x:c>
      <x:c r="E2" s="11" t="n">
        <x:v>454</x:v>
      </x:c>
      <x:c r="F2" s="11" t="n">
        <x:v>444</x:v>
      </x:c>
      <x:c r="G2" s="11" t="n">
        <x:v>106</x:v>
      </x:c>
      <x:c r="H2" s="11" t="n">
        <x:v>93</x:v>
      </x:c>
      <x:c r="I2" s="11" t="str">
        <x:v>Removed Big Ten Championship loss (10-13 vs Indiana) so outcome window is the 12-game regular season.</x:v>
      </x:c>
      <x:c r="J2" s="11" t="str">
        <x:v>https://ohiostatebuckeyes.com/sports/2026/5/27/2025-football-season</x:v>
      </x:c>
      <x:c r="L2" t="str">
        <x:v>Programs checked</x:v>
      </x:c>
      <x:c r="M2" t="n">
        <x:v>68</x:v>
      </x:c>
    </x:row>
    <x:row r="3">
      <x:c r="A3" s="11" t="str">
        <x:v>Alabama</x:v>
      </x:c>
      <x:c r="B3" s="11" t="str">
        <x:v>Conference championship included</x:v>
      </x:c>
      <x:c r="C3" s="11" t="str">
        <x:v>10-3</x:v>
      </x:c>
      <x:c r="D3" s="11" t="str">
        <x:v>10-2</x:v>
      </x:c>
      <x:c r="E3" s="11" t="n">
        <x:v>406</x:v>
      </x:c>
      <x:c r="F3" s="11" t="n">
        <x:v>399</x:v>
      </x:c>
      <x:c r="G3" s="11" t="n">
        <x:v>226</x:v>
      </x:c>
      <x:c r="H3" s="11" t="n">
        <x:v>198</x:v>
      </x:c>
      <x:c r="I3" s="11" t="str">
        <x:v>Removed SEC Championship loss (7-28 vs Georgia) so outcome window is the 12-game regular season.</x:v>
      </x:c>
      <x:c r="J3" s="11" t="str">
        <x:v>https://georgiadogs.com/news/2025/12/7/football-bulldogs-blitz-tide-28-7-for-sec-championship</x:v>
      </x:c>
      <x:c r="L3" t="str">
        <x:v>Payroll rows matching Baratelli</x:v>
      </x:c>
      <x:c r="M3" t="n">
        <x:v>68</x:v>
      </x:c>
    </x:row>
    <x:row r="4">
      <x:c r="A4" s="11" t="str">
        <x:v>Georgia</x:v>
      </x:c>
      <x:c r="B4" s="11" t="str">
        <x:v>Conference championship included</x:v>
      </x:c>
      <x:c r="C4" s="11" t="str">
        <x:v>12-1</x:v>
      </x:c>
      <x:c r="D4" s="11" t="str">
        <x:v>11-1</x:v>
      </x:c>
      <x:c r="E4" s="11" t="n">
        <x:v>415</x:v>
      </x:c>
      <x:c r="F4" s="11" t="n">
        <x:v>387</x:v>
      </x:c>
      <x:c r="G4" s="11" t="n">
        <x:v>207</x:v>
      </x:c>
      <x:c r="H4" s="11" t="n">
        <x:v>200</x:v>
      </x:c>
      <x:c r="I4" s="11" t="str">
        <x:v>Removed SEC Championship win (28-7 vs Alabama) so outcome window is the 12-game regular season.</x:v>
      </x:c>
      <x:c r="J4" s="11" t="str">
        <x:v>https://georgiadogs.com/news/2025/12/7/football-bulldogs-blitz-tide-28-7-for-sec-championship</x:v>
      </x:c>
      <x:c r="L4" t="str">
        <x:v>Performance rows unchanged</x:v>
      </x:c>
      <x:c r="M4" t="n">
        <x:v>55</x:v>
      </x:c>
    </x:row>
    <x:row r="5">
      <x:c r="A5" s="11" t="str">
        <x:v>Miami (FL)</x:v>
      </x:c>
      <x:c r="B5" s="11" t="str">
        <x:v>DraftEdge missing game</x:v>
      </x:c>
      <x:c r="C5" s="11" t="str">
        <x:v>9-2</x:v>
      </x:c>
      <x:c r="D5" s="11" t="str">
        <x:v>10-2</x:v>
      </x:c>
      <x:c r="E5" s="11" t="n">
        <x:v>382</x:v>
      </x:c>
      <x:c r="F5" s="11" t="n">
        <x:v>409</x:v>
      </x:c>
      <x:c r="G5" s="11" t="n">
        <x:v>142</x:v>
      </x:c>
      <x:c r="H5" s="11" t="n">
        <x:v>166</x:v>
      </x:c>
      <x:c r="I5" s="11" t="str">
        <x:v>DraftEdge omitted the Aug. 31 win over Notre Dame (27-24); restored that game from Miami official schedule.</x:v>
      </x:c>
      <x:c r="J5" s="11" t="str">
        <x:v>https://miamihurricanes.com/sports/football/schedule/season/2025-26</x:v>
      </x:c>
      <x:c r="L5" t="str">
        <x:v>Performance rows corrected</x:v>
      </x:c>
      <x:c r="M5" t="n">
        <x:v>13</x:v>
      </x:c>
    </x:row>
    <x:row r="6">
      <x:c r="A6" s="11" t="str">
        <x:v>Notre Dame</x:v>
      </x:c>
      <x:c r="B6" s="11" t="str">
        <x:v>DraftEdge missing game</x:v>
      </x:c>
      <x:c r="C6" s="11" t="str">
        <x:v>10-1</x:v>
      </x:c>
      <x:c r="D6" s="11" t="str">
        <x:v>10-2</x:v>
      </x:c>
      <x:c r="E6" s="11" t="n">
        <x:v>480</x:v>
      </x:c>
      <x:c r="F6" s="11" t="n">
        <x:v>504</x:v>
      </x:c>
      <x:c r="G6" s="11" t="n">
        <x:v>184</x:v>
      </x:c>
      <x:c r="H6" s="11" t="n">
        <x:v>211</x:v>
      </x:c>
      <x:c r="I6" s="11" t="str">
        <x:v>DraftEdge omitted the Aug. 31 loss at Miami (24-27); restored that game from Notre Dame official season statistics.</x:v>
      </x:c>
      <x:c r="J6" s="11" t="str">
        <x:v>https://fightingirish.com/wp-content/uploads/2025/11/2025-NDFB-Season-Statistics-G12.pdf</x:v>
      </x:c>
      <x:c r="L6" t="str">
        <x:v>Final game count per program</x:v>
      </x:c>
      <x:c r="M6" t="n">
        <x:v>12</x:v>
      </x:c>
    </x:row>
    <x:row r="7">
      <x:c r="A7" s="11" t="str">
        <x:v>Auburn</x:v>
      </x:c>
      <x:c r="B7" s="11" t="str">
        <x:v>DraftEdge missing game</x:v>
      </x:c>
      <x:c r="C7" s="11" t="str">
        <x:v>4-7</x:v>
      </x:c>
      <x:c r="D7" s="11" t="str">
        <x:v>5-7</x:v>
      </x:c>
      <x:c r="E7" s="11" t="n">
        <x:v>259</x:v>
      </x:c>
      <x:c r="F7" s="11" t="n">
        <x:v>321</x:v>
      </x:c>
      <x:c r="G7" s="11" t="n">
        <x:v>231</x:v>
      </x:c>
      <x:c r="H7" s="11" t="n">
        <x:v>248</x:v>
      </x:c>
      <x:c r="I7" s="11" t="str">
        <x:v>DraftEdge omitted the Nov. 22 win over Mercer (62-17); restored that game from Auburn official schedule.</x:v>
      </x:c>
      <x:c r="J7" s="11" t="str">
        <x:v>https://auburntigers.com/sports/football/schedule/season/2025</x:v>
      </x:c>
    </x:row>
    <x:row r="8">
      <x:c r="A8" s="11" t="str">
        <x:v>Indiana</x:v>
      </x:c>
      <x:c r="B8" s="11" t="str">
        <x:v>Conference championship included</x:v>
      </x:c>
      <x:c r="C8" s="11" t="str">
        <x:v>13-0</x:v>
      </x:c>
      <x:c r="D8" s="11" t="str">
        <x:v>12-0</x:v>
      </x:c>
      <x:c r="E8" s="11" t="n">
        <x:v>545</x:v>
      </x:c>
      <x:c r="F8" s="11" t="n">
        <x:v>532</x:v>
      </x:c>
      <x:c r="G8" s="11" t="n">
        <x:v>141</x:v>
      </x:c>
      <x:c r="H8" s="11" t="n">
        <x:v>131</x:v>
      </x:c>
      <x:c r="I8" s="11" t="str">
        <x:v>Removed Big Ten Championship win (13-10 vs Ohio State) so outcome window is the 12-game regular season.</x:v>
      </x:c>
      <x:c r="J8" s="11" t="str">
        <x:v>https://ohiostatebuckeyes.com/sports/2026/5/27/2025-football-season</x:v>
      </x:c>
    </x:row>
    <x:row r="9">
      <x:c r="A9" s="11" t="str">
        <x:v>Florida State</x:v>
      </x:c>
      <x:c r="B9" s="11" t="str">
        <x:v>DraftEdge missing game</x:v>
      </x:c>
      <x:c r="C9" s="11" t="str">
        <x:v>4-7</x:v>
      </x:c>
      <x:c r="D9" s="11" t="str">
        <x:v>5-7</x:v>
      </x:c>
      <x:c r="E9" s="11" t="n">
        <x:v>319</x:v>
      </x:c>
      <x:c r="F9" s="11" t="n">
        <x:v>396</x:v>
      </x:c>
      <x:c r="G9" s="11" t="n">
        <x:v>261</x:v>
      </x:c>
      <x:c r="H9" s="11" t="n">
        <x:v>264</x:v>
      </x:c>
      <x:c r="I9" s="11" t="str">
        <x:v>DraftEdge omitted the Sep. 6 win over East Texas A&amp;M (77-3); restored that game from Florida State official schedule.</x:v>
      </x:c>
      <x:c r="J9" s="11" t="str">
        <x:v>https://seminoles.com/sports/football/schedule/text/2025</x:v>
      </x:c>
    </x:row>
    <x:row r="10">
      <x:c r="A10" s="11" t="str">
        <x:v>Texas Tech</x:v>
      </x:c>
      <x:c r="B10" s="11" t="str">
        <x:v>Conference championship included</x:v>
      </x:c>
      <x:c r="C10" s="11" t="str">
        <x:v>12-1</x:v>
      </x:c>
      <x:c r="D10" s="11" t="str">
        <x:v>11-1</x:v>
      </x:c>
      <x:c r="E10" s="11" t="n">
        <x:v>552</x:v>
      </x:c>
      <x:c r="F10" s="11" t="n">
        <x:v>518</x:v>
      </x:c>
      <x:c r="G10" s="11" t="n">
        <x:v>142</x:v>
      </x:c>
      <x:c r="H10" s="11" t="n">
        <x:v>135</x:v>
      </x:c>
      <x:c r="I10" s="11" t="str">
        <x:v>Removed Big 12 Championship win (34-7 vs BYU) so outcome window is the 12-game regular season.</x:v>
      </x:c>
      <x:c r="J10" s="11" t="str">
        <x:v>https://texastech.com/game-center/21665</x:v>
      </x:c>
    </x:row>
    <x:row r="11">
      <x:c r="A11" s="11" t="str">
        <x:v>BYU</x:v>
      </x:c>
      <x:c r="B11" s="11" t="str">
        <x:v>Conference championship included</x:v>
      </x:c>
      <x:c r="C11" s="11" t="str">
        <x:v>11-2</x:v>
      </x:c>
      <x:c r="D11" s="11" t="str">
        <x:v>11-1</x:v>
      </x:c>
      <x:c r="E11" s="11" t="n">
        <x:v>415</x:v>
      </x:c>
      <x:c r="F11" s="11" t="n">
        <x:v>408</x:v>
      </x:c>
      <x:c r="G11" s="11" t="n">
        <x:v>247</x:v>
      </x:c>
      <x:c r="H11" s="11" t="n">
        <x:v>213</x:v>
      </x:c>
      <x:c r="I11" s="11" t="str">
        <x:v>Removed Big 12 Championship loss (7-34 vs Texas Tech) so outcome window is the 12-game regular season.</x:v>
      </x:c>
      <x:c r="J11" s="11" t="str">
        <x:v>https://texastech.com/game-center/21665</x:v>
      </x:c>
    </x:row>
    <x:row r="12">
      <x:c r="A12" s="11" t="str">
        <x:v>Duke</x:v>
      </x:c>
      <x:c r="B12" s="11" t="str">
        <x:v>Conference championship included</x:v>
      </x:c>
      <x:c r="C12" s="11" t="str">
        <x:v>8-5</x:v>
      </x:c>
      <x:c r="D12" s="11" t="str">
        <x:v>7-5</x:v>
      </x:c>
      <x:c r="E12" s="11" t="n">
        <x:v>442</x:v>
      </x:c>
      <x:c r="F12" s="11" t="n">
        <x:v>415</x:v>
      </x:c>
      <x:c r="G12" s="11" t="n">
        <x:v>373</x:v>
      </x:c>
      <x:c r="H12" s="11" t="n">
        <x:v>353</x:v>
      </x:c>
      <x:c r="I12" s="11" t="str">
        <x:v>Removed ACC Championship win (27-20 OT vs Virginia) so outcome window is the 12-game regular season.</x:v>
      </x:c>
      <x:c r="J12" s="11" t="str">
        <x:v>https://theacc.com/news/2025/12/7/2025-acc-football-championship-game-notes.aspx</x:v>
      </x:c>
    </x:row>
    <x:row r="13">
      <x:c r="A13" s="11" t="str">
        <x:v>California</x:v>
      </x:c>
      <x:c r="B13" s="11" t="str">
        <x:v>DraftEdge missing game</x:v>
      </x:c>
      <x:c r="C13" s="11" t="str">
        <x:v>6-5</x:v>
      </x:c>
      <x:c r="D13" s="11" t="str">
        <x:v>7-5</x:v>
      </x:c>
      <x:c r="E13" s="11" t="n">
        <x:v>264</x:v>
      </x:c>
      <x:c r="F13" s="11" t="n">
        <x:v>298</x:v>
      </x:c>
      <x:c r="G13" s="11" t="n">
        <x:v>303</x:v>
      </x:c>
      <x:c r="H13" s="11" t="n">
        <x:v>318</x:v>
      </x:c>
      <x:c r="I13" s="11" t="str">
        <x:v>DraftEdge omitted the Aug. 30 win at Oregon State (34-15); restored that game from California official schedule.</x:v>
      </x:c>
      <x:c r="J13" s="11" t="str">
        <x:v>https://calbears.com/sports/football/schedule/text/2025</x:v>
      </x:c>
    </x:row>
    <x:row r="14">
      <x:c r="A14" s="11" t="str">
        <x:v>Virginia</x:v>
      </x:c>
      <x:c r="B14" s="11" t="str">
        <x:v>Conference championship included</x:v>
      </x:c>
      <x:c r="C14" s="11" t="str">
        <x:v>10-3</x:v>
      </x:c>
      <x:c r="D14" s="11" t="str">
        <x:v>10-2</x:v>
      </x:c>
      <x:c r="E14" s="11" t="n">
        <x:v>418</x:v>
      </x:c>
      <x:c r="F14" s="11" t="n">
        <x:v>398</x:v>
      </x:c>
      <x:c r="G14" s="11" t="n">
        <x:v>267</x:v>
      </x:c>
      <x:c r="H14" s="11" t="n">
        <x:v>240</x:v>
      </x:c>
      <x:c r="I14" s="11" t="str">
        <x:v>Removed ACC Championship loss (20-27 OT vs Duke) so outcome window is the 12-game regular season.</x:v>
      </x:c>
      <x:c r="J14" s="11" t="str">
        <x:v>https://theacc.com/news/2025/12/7/2025-acc-football-championship-game-notes.aspx</x:v>
      </x:c>
    </x:row>
  </x:sheetData>
  <x:pageMargins left="0.7" right="0.7" top="0.75" bottom="0.75" header="0.3" footer="0.3"/>
</x:worksheet>
</file>